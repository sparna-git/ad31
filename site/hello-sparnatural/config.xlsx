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ixes" sheetId="1" r:id="rId4"/>
    <sheet state="visible" name="Liens" sheetId="2" r:id="rId5"/>
    <sheet state="visible" name="Classes" sheetId="3" r:id="rId6"/>
    <sheet state="visible" name="Properties" sheetId="4" r:id="rId7"/>
    <sheet state="visible" name="Datasources" sheetId="5" r:id="rId8"/>
    <sheet state="visible" name="Diagrams" sheetId="6" r:id="rId9"/>
  </sheets>
  <definedNames/>
  <calcPr/>
  <extLst>
    <ext uri="GoogleSheetsCustomDataVersion2">
      <go:sheetsCustomData xmlns:go="http://customooxmlschemas.google.com/" r:id="rId10" roundtripDataChecksum="6lJpmIrRho4/iEgPQLUJwPditPMI6LzwlnWRO8fGdrY="/>
    </ext>
  </extLst>
</workbook>
</file>

<file path=xl/sharedStrings.xml><?xml version="1.0" encoding="utf-8"?>
<sst xmlns="http://schemas.openxmlformats.org/spreadsheetml/2006/main" count="852" uniqueCount="430">
  <si>
    <t>PREFIX</t>
  </si>
  <si>
    <t>crm</t>
  </si>
  <si>
    <t>http://www.cidoc-crm.org/cidoc-crm/</t>
  </si>
  <si>
    <t>dash</t>
  </si>
  <si>
    <t>http://datashapes.org/dash#</t>
  </si>
  <si>
    <t>frbroo</t>
  </si>
  <si>
    <t>http://iflastandards.info/ns/fr/frbr/frbroo/</t>
  </si>
  <si>
    <t>owl</t>
  </si>
  <si>
    <t>http://www.w3.org/2002/07/owl#</t>
  </si>
  <si>
    <t>rdf</t>
  </si>
  <si>
    <t>http://www.w3.org/1999/02/22-rdf-syntax-ns#</t>
  </si>
  <si>
    <t>rdfs</t>
  </si>
  <si>
    <t>http://www.w3.org/2000/01/rdf-schema#</t>
  </si>
  <si>
    <t>rico</t>
  </si>
  <si>
    <t>https://www.ica.org/standards/RiC/ontology#</t>
  </si>
  <si>
    <t>sh</t>
  </si>
  <si>
    <t>http://www.w3.org/ns/shacl#</t>
  </si>
  <si>
    <t>shacl-play</t>
  </si>
  <si>
    <t>https://shacl-play.sparna.fr/ontology#</t>
  </si>
  <si>
    <t>volipi</t>
  </si>
  <si>
    <t>http://data.sparna.fr/ontologies/volipi#</t>
  </si>
  <si>
    <t>xsd</t>
  </si>
  <si>
    <t>http://www.w3.org/2001/XMLSchema#</t>
  </si>
  <si>
    <t>core</t>
  </si>
  <si>
    <t>http://data.sparna.fr/ontologies/sparnatural-config-core#</t>
  </si>
  <si>
    <t>datasources</t>
  </si>
  <si>
    <t>http://data.sparna.fr/ontologies/sparnatural-config-datasources#</t>
  </si>
  <si>
    <t>vocabulaire</t>
  </si>
  <si>
    <t>https://data.archives.haute-garonne.fr/vocabulaire/</t>
  </si>
  <si>
    <t>sacs</t>
  </si>
  <si>
    <t>https://data.archives.haute-garonne.fr/modeles/sacsaproces#</t>
  </si>
  <si>
    <t>type</t>
  </si>
  <si>
    <t>https://data.archives.haute-garonne.fr/type/</t>
  </si>
  <si>
    <t>ad31-onto</t>
  </si>
  <si>
    <t>https://data.archives.haute-garonne.fr/ontologie#</t>
  </si>
  <si>
    <t>Lien vers le fichier Excel</t>
  </si>
  <si>
    <t>https://docs.google.com/spreadsheets/d/1X6GqNxMBVkflrJGj2kAm-wYz0Ey7nEOt/export?format=xlsx</t>
  </si>
  <si>
    <t>Lien pour obtenir le fichier SHACL</t>
  </si>
  <si>
    <t>Lien vers la documentation HTML</t>
  </si>
  <si>
    <t>URI du modèle</t>
  </si>
  <si>
    <t>https://data.archives.haute-garonne.fr/modeles/sacsaproces</t>
  </si>
  <si>
    <t>dct:title</t>
  </si>
  <si>
    <t>Documentation of AD31 Pending cases model</t>
  </si>
  <si>
    <t>dct:abstract</t>
  </si>
  <si>
    <t>(_english_) This page documents the structure of the Collections data published by AD31
-----
(_français_) Cette page documente la structure des données de Collections publiées par les AD31</t>
  </si>
  <si>
    <t>foaf:depiction</t>
  </si>
  <si>
    <t>dcat:distribution</t>
  </si>
  <si>
    <t>[dcterms:format &lt;https://www.iana.org/assignments/media-types/text/turtle&gt;; dcat:downloadURL &lt;http://shapes.performing-arts.ch/collections/sapa-collections.ttl&gt;]</t>
  </si>
  <si>
    <t>rdf:type</t>
  </si>
  <si>
    <t>owl:Ontology</t>
  </si>
  <si>
    <t>URI</t>
  </si>
  <si>
    <t>sh:order^^xsd:integer</t>
  </si>
  <si>
    <t>volipi:iconName</t>
  </si>
  <si>
    <t>rdf:type(separator=",")</t>
  </si>
  <si>
    <t>sh:targetClass</t>
  </si>
  <si>
    <t>sh:target(id="target")</t>
  </si>
  <si>
    <t>sh:select(subjectColumn="target")</t>
  </si>
  <si>
    <t>rdfs:label@fr</t>
  </si>
  <si>
    <t>rdfs:subClassOf(subjectColumn="sh:targetClass")</t>
  </si>
  <si>
    <t>skos:definition@fr</t>
  </si>
  <si>
    <t>sh:deactivated^^xsd:boolean</t>
  </si>
  <si>
    <t>sh:pattern^^xsd:string</t>
  </si>
  <si>
    <t>foaf:depiction(separator=",")</t>
  </si>
  <si>
    <t>sh:closed^^xsd:boolean</t>
  </si>
  <si>
    <t>sh:ignoredProperties</t>
  </si>
  <si>
    <t>shacl-play:background-color</t>
  </si>
  <si>
    <t>shacl-play:color</t>
  </si>
  <si>
    <t>Commentaire</t>
  </si>
  <si>
    <t>Cote</t>
  </si>
  <si>
    <t>sacs:Cote</t>
  </si>
  <si>
    <t>fa-solid fa-laptop-code</t>
  </si>
  <si>
    <t>sh:NodeShape</t>
  </si>
  <si>
    <t>rico:Identifier</t>
  </si>
  <si>
    <t>Identifiant</t>
  </si>
  <si>
    <t>Ici les identifiants utilisés dans le modèle. Les cotes sont les identifiants uniques des sacs. Chaque identifiant correspond à un seul sac. Un sac peut avoir plusieurs identifiants (de types différents). Les lieux peuvent avoir un code INSEE.</t>
  </si>
  <si>
    <t>"^https://data.archives.haute-garonne.fr/[instanciation|lieu|archive]/[0-9a-f]{8}-[0-9a-f]{4}-[0-9a-f]{4}-[0-9a-f]{4}-[0-9a-f]{12}"#[cote|castan|insee|ark[123]]"</t>
  </si>
  <si>
    <t>sacs:Diagram_Instantiation</t>
  </si>
  <si>
    <t>( rdf:type )</t>
  </si>
  <si>
    <t>ffffff</t>
  </si>
  <si>
    <t>Date</t>
  </si>
  <si>
    <t>sacs:Date</t>
  </si>
  <si>
    <t>fa-solid fa-calendar</t>
  </si>
  <si>
    <t>rico:Date</t>
  </si>
  <si>
    <t>Information chronologique liée à la procédure</t>
  </si>
  <si>
    <t>"^https://data.archives.haute-garonne.fr/evenement/[0-9a-f]{8}-[0-9a-f]{4}-[0-9a-f]{4}-[0-9a-f]{4}-[0-9a-f]{12}#date-[debut|fin]"</t>
  </si>
  <si>
    <t>sacs:Diagram_Activity_Procedure</t>
  </si>
  <si>
    <t>ded9c3</t>
  </si>
  <si>
    <t>Documents</t>
  </si>
  <si>
    <t>sacs:Notice</t>
  </si>
  <si>
    <t>fa-solid fa-file-text</t>
  </si>
  <si>
    <t>rico:RecordSet</t>
  </si>
  <si>
    <t>Document</t>
  </si>
  <si>
    <t>Contenu intellectuel des documents présents dans le sac</t>
  </si>
  <si>
    <t>"^https://data.archives.haute-garonne.fr/archive/[0-9a-f]{8}-[0-9a-f]{4}-[0-9a-f]{4}-[0-9a-f]{4}-[0-9a-f]{12}"</t>
  </si>
  <si>
    <t>dbeef4</t>
  </si>
  <si>
    <t>Faits</t>
  </si>
  <si>
    <t>sacs:Fait</t>
  </si>
  <si>
    <t>fa-solid fa-circle-question</t>
  </si>
  <si>
    <t>rico:Event</t>
  </si>
  <si>
    <t>Fait</t>
  </si>
  <si>
    <t>Objet de la procédure.</t>
  </si>
  <si>
    <t>"^https://data.archives.haute-garonne.fr/evenement/[0-9a-f]{8}-[0-9a-f]{4}-[0-9a-f]{4}-[0-9a-f]{4}-[0-9a-f]{12}"</t>
  </si>
  <si>
    <t>sacs:Diagram_Event_Place</t>
  </si>
  <si>
    <t>fffa9f</t>
  </si>
  <si>
    <t>Instruction</t>
  </si>
  <si>
    <t>sacs:Instruction</t>
  </si>
  <si>
    <t>fa-solid fa-gavel</t>
  </si>
  <si>
    <t>PREFIX rico: &lt;https://www.ica.org/standards/RiC/ontology#&gt;
PREFIX type: &lt;https://data.archives.haute-garonne.fr/type/&gt;
SELECT ?this
WHERE {
  ?this a rico:Activity .
  ?this rico:hasActivityType type:acins .
}</t>
  </si>
  <si>
    <t>Ensemble d’actions menées par une juridiction pour mettre une affaire en état d’être jugée.</t>
  </si>
  <si>
    <t>Juridiction</t>
  </si>
  <si>
    <t>sacs:Juridiction</t>
  </si>
  <si>
    <t>fa-solid fa-landmark</t>
  </si>
  <si>
    <r>
      <rPr>
        <rFont val="Arial"/>
        <sz val="11.0"/>
      </rPr>
      <t>PREFIX rico: &lt;https://www.ica.org/standards/RiC/ontology#&gt;
PREFIX type: &lt;</t>
    </r>
    <r>
      <rPr>
        <rFont val="Arial"/>
        <color rgb="FF1155CC"/>
        <sz val="11.0"/>
        <u/>
      </rPr>
      <t>https://data.archives.haute-garonne.fr/type/</t>
    </r>
    <r>
      <rPr>
        <rFont val="Arial"/>
        <sz val="11.0"/>
      </rPr>
      <t>&gt;
SELECT ?this
WHERE {
  ?this a rico:CorporateBody .
  ?this rico:hasOrHadCorporateBodyType type:cljur .
}</t>
    </r>
  </si>
  <si>
    <t>Institution judiciaire ayant instruit la procédure.</t>
  </si>
  <si>
    <t>"^https://data.archives.haute-garonne.fr/agent/[0-9a-f]{8}-[0-9a-f]{4}-[0-9a-f]{4}-[0-9a-f]{4}-[0-9a-f]{12}"</t>
  </si>
  <si>
    <t>c7d8f1</t>
  </si>
  <si>
    <t>Liasse</t>
  </si>
  <si>
    <t>sacs:Liasse</t>
  </si>
  <si>
    <t>fa-solid fa-box-archive</t>
  </si>
  <si>
    <t>PREFIX rico: &lt;https://www.ica.org/standards/RiC/ontology#&gt;
PREFIX type: &lt;https://data.archives.haute-garonne.fr/type/&gt;
SELECT ?this
WHERE {
  ?this a rico:Instantiation .
  ?this rico:hasCarrierType type:sulia .
}</t>
  </si>
  <si>
    <t>Ensemble matériel de sacs, ficelés ensemble probablement au XIXe siècle dans le cadre d’une action archivistique de nature pour l’instant inconnue.</t>
  </si>
  <si>
    <t>"^https://data.archives.haute-garonne.fr/instanciation/[0-9a-f]{8}-[0-9a-f]{4}-[0-9a-f]{4}-[0-9a-f]{4}-[0-9a-f]{12}"</t>
  </si>
  <si>
    <t>f5deb4</t>
  </si>
  <si>
    <t>Lieu</t>
  </si>
  <si>
    <t>sacs:Lieu</t>
  </si>
  <si>
    <t>fa-solid fa-location-dot</t>
  </si>
  <si>
    <t>rico:Place</t>
  </si>
  <si>
    <t>Entité géographique permettant de contextualiser des faits, une juridiction, ou une partie.</t>
  </si>
  <si>
    <t>"^https://data.archives.haute-garonne.fr/lieu/[0-9a-f]{8}-[0-9a-f]{4}-[0-9a-f]{4}-[0-9a-f]{4}-[0-9a-f]{12}"</t>
  </si>
  <si>
    <t>f99f9f</t>
  </si>
  <si>
    <t>Procédure</t>
  </si>
  <si>
    <t>sacs:Procedure</t>
  </si>
  <si>
    <t>fa-solid fa-book</t>
  </si>
  <si>
    <t>PREFIX rico: &lt;https://www.ica.org/standards/RiC/ontology#&gt;
PREFIX type: &lt;https://data.archives.haute-garonne.fr/type/&gt;
SELECT ?this
WHERE {
  ?this a rico:Activity .
  ?this rico:hasActivityType type:acpro .
}</t>
  </si>
  <si>
    <t>Procédure judiciaire à l’origine des documents. Cœur de la description</t>
  </si>
  <si>
    <t>fef9a0</t>
  </si>
  <si>
    <t>Sac</t>
  </si>
  <si>
    <t>sacs:Sac</t>
  </si>
  <si>
    <t>fa-solid fa-suitcase</t>
  </si>
  <si>
    <t>PREFIX rico: &lt;https://www.ica.org/standards/RiC/ontology#&gt;
PREFIX type: &lt;https://data.archives.haute-garonne.fr/type/&gt;
SELECT ?this
WHERE {
  ?this a rico:Instantiation .
  ?this rico:hasCarrierType type:susac .
}</t>
  </si>
  <si>
    <t>Aspect matériel de l’ensemble documentaire.</t>
  </si>
  <si>
    <t>f4ddb4</t>
  </si>
  <si>
    <t>Partie – personne morale</t>
  </si>
  <si>
    <t>sacs:PersonneMorale</t>
  </si>
  <si>
    <t>fa-solid fa-building</t>
  </si>
  <si>
    <r>
      <rPr>
        <rFont val="Arial"/>
        <sz val="11.0"/>
      </rPr>
      <t>PREFIX rico: &lt;https://www.ica.org/standards/RiC/ontology#&gt;
PREFIX type: &lt;</t>
    </r>
    <r>
      <rPr>
        <rFont val="Arial"/>
        <color rgb="FF1155CC"/>
        <sz val="11.0"/>
        <u/>
      </rPr>
      <t>https://data.archives.haute-garonne.fr/type/</t>
    </r>
    <r>
      <rPr>
        <rFont val="Arial"/>
        <sz val="11.0"/>
      </rPr>
      <t>&gt;
SELECT ?this
WHERE {
  ?this a rico:CorporateBody .
  FILTER NOT EXISTS { ?this rico:hasOrHadCorporateBodyType type:cljur . }
}</t>
    </r>
  </si>
  <si>
    <t>Personne morale partie du procès (défendeur ou demandeur)</t>
  </si>
  <si>
    <t>c3d3eb</t>
  </si>
  <si>
    <t>Partie – personne physique</t>
  </si>
  <si>
    <t>sacs:PersonnePhysique</t>
  </si>
  <si>
    <t>fa-solid fa-male</t>
  </si>
  <si>
    <t>rico:Person</t>
  </si>
  <si>
    <t>Individu partie du procès (défendeur ou demandeur)</t>
  </si>
  <si>
    <t>e5dfeb</t>
  </si>
  <si>
    <t>Campagne</t>
  </si>
  <si>
    <t>sacs:Campagne</t>
  </si>
  <si>
    <t>PREFIX rico: &lt;https://www.ica.org/standards/RiC/ontology#&gt;
PREFIX type: &lt;https://data.archives.haute-garonne.fr/type/&gt;
SELECT ?this
WHERE {
  ?this a rico:Activity .
  ?this rico:hasActivityType type:accam .
}</t>
  </si>
  <si>
    <t>Ensemble d’actions menées par divers intervenants pour effectuer divers travaux de traitement des fonds</t>
  </si>
  <si>
    <t>sacs:Diagram_Activity_Campagne</t>
  </si>
  <si>
    <t>Relation impliquant un événement</t>
  </si>
  <si>
    <t>sacs:RelationEvenement</t>
  </si>
  <si>
    <t>rico:EventRelation</t>
  </si>
  <si>
    <t>"^https://data.archives.haute-garonne.fr/evenement/[0-9a-f]{8}-[0-9a-f]{4}-[0-9a-f]{4}-[0-9a-f]{4}-[0-9a-f]{12}#relation"</t>
  </si>
  <si>
    <t> </t>
  </si>
  <si>
    <t>Vocabulaires contrôlés</t>
  </si>
  <si>
    <t>sacs:LegalStatus</t>
  </si>
  <si>
    <t>fa-solid fa-list-ul</t>
  </si>
  <si>
    <t>rico:LegalStatus</t>
  </si>
  <si>
    <t>Type de juridiction</t>
  </si>
  <si>
    <t>skos:Concept</t>
  </si>
  <si>
    <t>Vocabulaire contrôlé permettant de catégoriser les différents niveaux de juridiction.</t>
  </si>
  <si>
    <r>
      <rPr/>
      <t>"^</t>
    </r>
    <r>
      <rPr>
        <color rgb="FF1155CC"/>
        <u/>
      </rPr>
      <t>https://data.archives.haute-garonne.fr/type/ju</t>
    </r>
    <r>
      <rPr/>
      <t>[a-z]{3}$"</t>
    </r>
  </si>
  <si>
    <t>sacs:IdentifierType</t>
  </si>
  <si>
    <t>rico:IdentifierType</t>
  </si>
  <si>
    <t>Type d'identifiant</t>
  </si>
  <si>
    <t>Vocabulaire contrôlé qualifiant un identifiant</t>
  </si>
  <si>
    <r>
      <rPr/>
      <t>"^</t>
    </r>
    <r>
      <rPr>
        <color rgb="FF1155CC"/>
        <u/>
      </rPr>
      <t>https://data.archives.haute-garonne.fr/type/id</t>
    </r>
    <r>
      <rPr/>
      <t>[a-z]{3}$"</t>
    </r>
  </si>
  <si>
    <t>sacs:PlaceType</t>
  </si>
  <si>
    <t>rico:PlaceType</t>
  </si>
  <si>
    <t>Type de lieu</t>
  </si>
  <si>
    <t>Vocabulaire contrôlé qualifiant les lieux</t>
  </si>
  <si>
    <r>
      <rPr/>
      <t>"^</t>
    </r>
    <r>
      <rPr>
        <color rgb="FF1155CC"/>
        <u/>
      </rPr>
      <t>https://data.archives.haute-garonne.fr/type/li</t>
    </r>
    <r>
      <rPr/>
      <t>[a-z]{3}$"</t>
    </r>
  </si>
  <si>
    <t>sacs:EventType</t>
  </si>
  <si>
    <t>rico:EventType</t>
  </si>
  <si>
    <t>Qualification des faits</t>
  </si>
  <si>
    <t>Qualification les faits à l’origine de la procédure.</t>
  </si>
  <si>
    <r>
      <rPr/>
      <t>"^</t>
    </r>
    <r>
      <rPr>
        <color rgb="FF1155CC"/>
        <u/>
      </rPr>
      <t>https://data.archives.haute-garonne.fr/type/fa</t>
    </r>
    <r>
      <rPr/>
      <t>[a-z]{3}$"</t>
    </r>
  </si>
  <si>
    <t>sacs:OccupationType</t>
  </si>
  <si>
    <t>rico:OccupationType</t>
  </si>
  <si>
    <t>Type de profession</t>
  </si>
  <si>
    <t>Vocabulaire contrôlé permettant de catégoriser les professions exercées par des personnes physiques.</t>
  </si>
  <si>
    <r>
      <rPr/>
      <t>"^</t>
    </r>
    <r>
      <rPr>
        <color rgb="FF1155CC"/>
        <u/>
      </rPr>
      <t>https://data.archives.haute-garonne.fr/type/pr</t>
    </r>
    <r>
      <rPr/>
      <t>[a-z]{3}$"</t>
    </r>
  </si>
  <si>
    <t>sacs:ActivityType</t>
  </si>
  <si>
    <t>rico:ActivityType</t>
  </si>
  <si>
    <t>Type d'activité</t>
  </si>
  <si>
    <t>Vocabulaire contrôlé qualifiant un type d'activité</t>
  </si>
  <si>
    <r>
      <rPr/>
      <t>"^</t>
    </r>
    <r>
      <rPr>
        <color rgb="FF1155CC"/>
        <u/>
      </rPr>
      <t>https://data.archives.haute-garonne.fr/type/ac</t>
    </r>
    <r>
      <rPr/>
      <t>[a-z]{3}$"</t>
    </r>
  </si>
  <si>
    <t>sacs:CarrierType</t>
  </si>
  <si>
    <t>rico:CarrierType</t>
  </si>
  <si>
    <t>Type d'instantiation</t>
  </si>
  <si>
    <t>Vocabulaire contrôlé qualifiant un type de support</t>
  </si>
  <si>
    <r>
      <rPr/>
      <t>"^</t>
    </r>
    <r>
      <rPr>
        <color rgb="FF1155CC"/>
        <u/>
      </rPr>
      <t>https://data.archives.haute-garonne.fr/type/su</t>
    </r>
    <r>
      <rPr/>
      <t>[a-z]{3}$"</t>
    </r>
  </si>
  <si>
    <t>sacs:DemographicGroup</t>
  </si>
  <si>
    <t>rico:DemographicGroup</t>
  </si>
  <si>
    <t>Sexe</t>
  </si>
  <si>
    <t>Vocabulaire contrôlé qualifiant le genre de la personne physique</t>
  </si>
  <si>
    <r>
      <rPr/>
      <t>"^</t>
    </r>
    <r>
      <rPr>
        <color rgb="FF1155CC"/>
        <u/>
      </rPr>
      <t>https://data.archives.haute-garonne.fr/type/sx</t>
    </r>
    <r>
      <rPr/>
      <t>[a-z]{3}$"</t>
    </r>
  </si>
  <si>
    <t>sacs:CorporateBodyType</t>
  </si>
  <si>
    <t>rico:CorporateBodyType</t>
  </si>
  <si>
    <t>Type de collectivité</t>
  </si>
  <si>
    <t>Vocabulaire contrôlé qualifiant un type de collectivité</t>
  </si>
  <si>
    <r>
      <rPr/>
      <t>"^</t>
    </r>
    <r>
      <rPr>
        <color rgb="FF1155CC"/>
        <u/>
      </rPr>
      <t>https://data.archives.haute-garonne.fr/type/cl</t>
    </r>
    <r>
      <rPr/>
      <t>[a-z]{3}$"</t>
    </r>
  </si>
  <si>
    <t>sacs:TypeProcedure</t>
  </si>
  <si>
    <t>ad31-onto:TypeProcedure</t>
  </si>
  <si>
    <t>Type de procédure</t>
  </si>
  <si>
    <t>Vocabulaire contrôlé qualifiant un type de procédure</t>
  </si>
  <si>
    <r>
      <rPr/>
      <t>"^</t>
    </r>
    <r>
      <rPr>
        <color rgb="FF1155CC"/>
        <u/>
      </rPr>
      <t>https://data.archives.haute-garonne.fr/type/pc</t>
    </r>
    <r>
      <rPr/>
      <t>[a-z]{3}$"</t>
    </r>
  </si>
  <si>
    <t>Concept</t>
  </si>
  <si>
    <t>URI de la contrainte</t>
  </si>
  <si>
    <t>URI de la propriété</t>
  </si>
  <si>
    <t>Domaine (référence à une NodeShape de la première feuille)</t>
  </si>
  <si>
    <t>ordre dans l'affichage de la doc</t>
  </si>
  <si>
    <t>label @fr</t>
  </si>
  <si>
    <t>description en francais</t>
  </si>
  <si>
    <t>reference to corresponding Github issue</t>
  </si>
  <si>
    <t>card min</t>
  </si>
  <si>
    <t>card max</t>
  </si>
  <si>
    <t>type (litéral / IRI)</t>
  </si>
  <si>
    <t>datatype</t>
  </si>
  <si>
    <t>range (sh:class)</t>
  </si>
  <si>
    <t>range (multiple - sh:or)</t>
  </si>
  <si>
    <t>Valeurs autorisées</t>
  </si>
  <si>
    <t>Flag de label</t>
  </si>
  <si>
    <t>Sparnatural widget</t>
  </si>
  <si>
    <t>Sparnatural datasource</t>
  </si>
  <si>
    <t>sh:path</t>
  </si>
  <si>
    <t>^sh:property(separator=",")</t>
  </si>
  <si>
    <t>sh:order</t>
  </si>
  <si>
    <t>sh:name@fr</t>
  </si>
  <si>
    <t>sh:description@fr</t>
  </si>
  <si>
    <t>rdfs:seeAlso</t>
  </si>
  <si>
    <t>sh:minCount^^xsd:integer</t>
  </si>
  <si>
    <t>sh:maxCount^^xsd:integer</t>
  </si>
  <si>
    <t>sh:nodeKind</t>
  </si>
  <si>
    <t>sh:datatype(separator=";" wrapper="sh:or")</t>
  </si>
  <si>
    <t>sh:class(separator=";" wrapper="sh:or")</t>
  </si>
  <si>
    <t>sh:node(separator=";" wrapper="sh:or")</t>
  </si>
  <si>
    <t>sh:or</t>
  </si>
  <si>
    <t>sh:hasValue(separator=",")</t>
  </si>
  <si>
    <t>sh:in</t>
  </si>
  <si>
    <t>dash:propertyRole</t>
  </si>
  <si>
    <t>dash:searchWidget</t>
  </si>
  <si>
    <t>sh:qualifiedValueShape</t>
  </si>
  <si>
    <t>sh:qualifiedMinCount^^xsd:integer</t>
  </si>
  <si>
    <t>sh:qualifiedMaxCount^^xsd:integer</t>
  </si>
  <si>
    <t>datasources:datasource</t>
  </si>
  <si>
    <t>sh:uniqueLang^^xsd:boolean</t>
  </si>
  <si>
    <t>rico:name</t>
  </si>
  <si>
    <t>cote</t>
  </si>
  <si>
    <t>sh:Literal</t>
  </si>
  <si>
    <t>xsd:string</t>
  </si>
  <si>
    <t>dash:LabelRole</t>
  </si>
  <si>
    <t>rico:hasIdentifierType</t>
  </si>
  <si>
    <t>a pour type de cote</t>
  </si>
  <si>
    <t>Chaque identifiant appartient à un type particulier</t>
  </si>
  <si>
    <t>sh:IRI</t>
  </si>
  <si>
    <t>rico:normalizedDateValue</t>
  </si>
  <si>
    <t>valeur de date normalisée</t>
  </si>
  <si>
    <t>Format de date basé sur une norme technique publique.</t>
  </si>
  <si>
    <t>xsd:gYear</t>
  </si>
  <si>
    <t>rico:expressedDate</t>
  </si>
  <si>
    <t>a pour date d'impression</t>
  </si>
  <si>
    <t>Date en langage naturel</t>
  </si>
  <si>
    <t>rdf:langString</t>
  </si>
  <si>
    <t>Notice</t>
  </si>
  <si>
    <t>libellé d'affichage</t>
  </si>
  <si>
    <t>Contient la valeur "Notice {cote}" (exemple "Notice 2 B 15815")</t>
  </si>
  <si>
    <t>rico:generalDescription</t>
  </si>
  <si>
    <t>présentation du contenu</t>
  </si>
  <si>
    <t>Informations sur le contenu intellectuel du sac. Il peut s’agir de détails sur la procédure ou de mentions de certains documents.</t>
  </si>
  <si>
    <t>rico:recordResourceExtent</t>
  </si>
  <si>
    <t>nombre de pièces</t>
  </si>
  <si>
    <t>Nombre de pièces comprises dans le sac</t>
  </si>
  <si>
    <t>xsd:integer</t>
  </si>
  <si>
    <t>rico:hasOrHadInstantiation</t>
  </si>
  <si>
    <t>a pour instanciation</t>
  </si>
  <si>
    <t>Les documents sont matérialisés par un sac</t>
  </si>
  <si>
    <t>rico:documents</t>
  </si>
  <si>
    <t>documente</t>
  </si>
  <si>
    <t>Les documents documentent une procédure</t>
  </si>
  <si>
    <t>rico:hasOrganicOrFunctionalProvenance</t>
  </si>
  <si>
    <t>rico:hasOrHadIdentifier</t>
  </si>
  <si>
    <t>a pour ID</t>
  </si>
  <si>
    <t>Identifiant ARK de la notice</t>
  </si>
  <si>
    <t>Contient la valeur "Fait de la procédure "{intitulé de la procédure}" "</t>
  </si>
  <si>
    <t>rico:hasEventType</t>
  </si>
  <si>
    <t>ont pour type de faits</t>
  </si>
  <si>
    <t>Les faits ont une ou plusieurs qualifications</t>
  </si>
  <si>
    <t>rico:hasOrHadLocation</t>
  </si>
  <si>
    <t>ont eu pour localisation</t>
  </si>
  <si>
    <t>Les faits se sont déroulés dans un contexte géographique</t>
  </si>
  <si>
    <t>Contient la valeur "Première instruction de "{intitulé de la procédure}" " ou "Deuxième instruction de ..." ou "Troisième instruction de ..."</t>
  </si>
  <si>
    <t>rico:hasActivityType</t>
  </si>
  <si>
    <t>a pour type d'activité</t>
  </si>
  <si>
    <t>Vocabulaire type d'activité</t>
  </si>
  <si>
    <t>type:acins</t>
  </si>
  <si>
    <t>rico:followsInTime</t>
  </si>
  <si>
    <t>a suivi dans le temps</t>
  </si>
  <si>
    <t>Une instruction intervient après une autre instruction</t>
  </si>
  <si>
    <t>rico:precedesInTime</t>
  </si>
  <si>
    <t>a précédé dans le temps</t>
  </si>
  <si>
    <t>Une instruction intervient avant une autre instruction</t>
  </si>
  <si>
    <t>rico:isOrWasPerformedBy</t>
  </si>
  <si>
    <t>a été menée par</t>
  </si>
  <si>
    <t>Une instruction est menée par une juridiction</t>
  </si>
  <si>
    <t>nom</t>
  </si>
  <si>
    <t>Juridiction 1/2/3</t>
  </si>
  <si>
    <t>rico:hasOrHadLegalStatus</t>
  </si>
  <si>
    <t>avait pour type de juridiction</t>
  </si>
  <si>
    <t>Une juridiction a un type de juridiction</t>
  </si>
  <si>
    <t>rico:agentHasOrHadLocation</t>
  </si>
  <si>
    <t>avait pour localisation</t>
  </si>
  <si>
    <t>Une juridiction siège à un endroit donné</t>
  </si>
  <si>
    <t>rico:hasOrHadCorporateBodyType</t>
  </si>
  <si>
    <t>a pour type de collectivité</t>
  </si>
  <si>
    <t>Vocabulaire type de collectivité</t>
  </si>
  <si>
    <t>type:cljur</t>
  </si>
  <si>
    <t>rico:hasCarrierType</t>
  </si>
  <si>
    <t>a pour type de support</t>
  </si>
  <si>
    <t>Vocabulaire type de support</t>
  </si>
  <si>
    <t>type:sulia</t>
  </si>
  <si>
    <t>rico:title</t>
  </si>
  <si>
    <t>intitulé</t>
  </si>
  <si>
    <t>Informations se trouvant sur le papillon qui accompagne parfois les paquets liés avec une corde</t>
  </si>
  <si>
    <t>rico:hadComponent</t>
  </si>
  <si>
    <t>a eu pour composant</t>
  </si>
  <si>
    <t>Chaque liasse comportait au moins 2 sacs</t>
  </si>
  <si>
    <t>Nom du lieu</t>
  </si>
  <si>
    <t>rico:hasOrHadPlaceType</t>
  </si>
  <si>
    <t>a pour type de lieu</t>
  </si>
  <si>
    <t>Un lieu est catégorisé par un type de lieu</t>
  </si>
  <si>
    <t>rico:isDirectlyContainedBy</t>
  </si>
  <si>
    <t>est directement contenu par</t>
  </si>
  <si>
    <t>Un lieu est compris dans un autre lieu</t>
  </si>
  <si>
    <t>rico:directlyContains</t>
  </si>
  <si>
    <t>contient directement</t>
  </si>
  <si>
    <t>Un lieu comprend un autre lieu</t>
  </si>
  <si>
    <t>a pour code INSEE</t>
  </si>
  <si>
    <t>Un lieu peut avoir un code INSEE</t>
  </si>
  <si>
    <t>sacs:Procedure_hasActivityType_ActivityType</t>
  </si>
  <si>
    <t>[ sh:class rico:ActivityType ; sh:hasValue type:acpro ]</t>
  </si>
  <si>
    <t>sacs:Procedure_hasActivityType_ProcedureType</t>
  </si>
  <si>
    <t>a pour type de procédure</t>
  </si>
  <si>
    <t>Vocabulaire type de procédure</t>
  </si>
  <si>
    <t>core:ListProperty</t>
  </si>
  <si>
    <t>[ sh:class ad31-onto:TypeProcedure ]</t>
  </si>
  <si>
    <t>a pour type d'activité ou type de procédure</t>
  </si>
  <si>
    <t>Vocabulaire type de procédure ou type d'activité</t>
  </si>
  <si>
    <t>Description succincte de la procédure</t>
  </si>
  <si>
    <t>rico:resultsOrResultedFrom</t>
  </si>
  <si>
    <t>a résulté de</t>
  </si>
  <si>
    <t>Une procédure est ouverte suite à des faits</t>
  </si>
  <si>
    <t>rico:hasOrHadSubevent</t>
  </si>
  <si>
    <t>a eu pour instruction</t>
  </si>
  <si>
    <t>Une procédure est un ensemble d’instructions</t>
  </si>
  <si>
    <t>rico:isAssociatedWithEvent</t>
  </si>
  <si>
    <t>était liée à la procédure</t>
  </si>
  <si>
    <t>Une procédure peut être liée à une autre procédure</t>
  </si>
  <si>
    <t>rico:hasOrHadParticipant</t>
  </si>
  <si>
    <t>a impliqué</t>
  </si>
  <si>
    <t>Une procédure implique des parties</t>
  </si>
  <si>
    <t>sacs:PersonneMorale;sacs:PersonnePhysique</t>
  </si>
  <si>
    <t>rico:hasBeginningDate</t>
  </si>
  <si>
    <t>date de début</t>
  </si>
  <si>
    <t>Date de début de la procédure</t>
  </si>
  <si>
    <t>rico:hasEndDate</t>
  </si>
  <si>
    <t>date de fin</t>
  </si>
  <si>
    <t>Date fin de la procédure</t>
  </si>
  <si>
    <t>Contient la valeur "Sac {cote}" (exemple "Notice 2 B 15815")</t>
  </si>
  <si>
    <t>type:susac</t>
  </si>
  <si>
    <t>rico:physicalCharacteristicsNote</t>
  </si>
  <si>
    <t>état des documents</t>
  </si>
  <si>
    <t>État de conservation des documents</t>
  </si>
  <si>
    <t>rico:structure</t>
  </si>
  <si>
    <t>autres informations descriptives</t>
  </si>
  <si>
    <t>Caractéristiques matérielles du sac</t>
  </si>
  <si>
    <t>a pour cote</t>
  </si>
  <si>
    <t>Chaque sac a un, voire plusieurs identifiants uniques</t>
  </si>
  <si>
    <t>rico:wasComponentOf</t>
  </si>
  <si>
    <t>a été le composant de</t>
  </si>
  <si>
    <t>Les sacs peuvent être issus d’une liasse</t>
  </si>
  <si>
    <t>rico:isOrWasInstantiationOf</t>
  </si>
  <si>
    <t>est une instanciation de</t>
  </si>
  <si>
    <t>Les sacs sont le support d’un contenu informationnel</t>
  </si>
  <si>
    <t>rico:hasOrganicProvenance</t>
  </si>
  <si>
    <t>a été produit par</t>
  </si>
  <si>
    <t>Les sacs ont été produits par une ou plusieurs juridictions</t>
  </si>
  <si>
    <t>Nom de la personne morale</t>
  </si>
  <si>
    <t>avait pour type de collectivité</t>
  </si>
  <si>
    <t>Une personne morale est située à un endroit donné</t>
  </si>
  <si>
    <t>Nom de la personne physique</t>
  </si>
  <si>
    <t>rico:hasOrHadOccupationOfType</t>
  </si>
  <si>
    <t>avait pour type de profession</t>
  </si>
  <si>
    <t>Une personne physique a une profession</t>
  </si>
  <si>
    <t>rico:hasOrHadDemographicGroup</t>
  </si>
  <si>
    <t>avait pour sexe supposé</t>
  </si>
  <si>
    <t xml:space="preserve">Sexe de la personne physique </t>
  </si>
  <si>
    <t>rico:isSourceOfRelation</t>
  </si>
  <si>
    <t>rico:relationHasTarget</t>
  </si>
  <si>
    <t>rico:relationHasContext</t>
  </si>
  <si>
    <t>rico:RoleType</t>
  </si>
  <si>
    <t>Vocabulaires contrôlés - scheme</t>
  </si>
  <si>
    <t>skos:inScheme</t>
  </si>
  <si>
    <t>in scheme</t>
  </si>
  <si>
    <t>vocabulaire:ju</t>
  </si>
  <si>
    <t>vocabulaire:id</t>
  </si>
  <si>
    <t>vocabulaire:li</t>
  </si>
  <si>
    <t>vocabulaire:fa</t>
  </si>
  <si>
    <t>vocabulaire:pr</t>
  </si>
  <si>
    <t>vocabulaire:ac</t>
  </si>
  <si>
    <t>vocabulaire:su</t>
  </si>
  <si>
    <t>vocabulaire:sx</t>
  </si>
  <si>
    <t>vocabulaire:cl</t>
  </si>
  <si>
    <t>vocabulaire:pc</t>
  </si>
  <si>
    <t>Vocabulaires contrôlés - prefLabel</t>
  </si>
  <si>
    <t>skos:prefLabel</t>
  </si>
  <si>
    <t>prefLabel</t>
  </si>
  <si>
    <t>dct:title@fr</t>
  </si>
  <si>
    <t>dct:description@fr</t>
  </si>
  <si>
    <t>Faits et lieux des faits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</si>
</sst>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b/>
      <color theme="1"/>
      <name val="Arial"/>
    </font>
    <font>
      <u/>
      <sz val="11.0"/>
      <color theme="10"/>
      <name val="Calibri"/>
    </font>
    <font>
      <u/>
      <color rgb="FF0563C1"/>
    </font>
    <font>
      <u/>
      <color rgb="FF0000FF"/>
    </font>
    <font>
      <u/>
      <sz val="11.0"/>
      <color rgb="FF0563C1"/>
      <name val="Calibri"/>
    </font>
    <font>
      <sz val="11.0"/>
      <color theme="1"/>
      <name val="Arial"/>
    </font>
    <font>
      <u/>
      <color rgb="FF1155CC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sz val="10.0"/>
      <color theme="1"/>
      <name val="Arial"/>
    </font>
    <font>
      <color theme="1"/>
      <name val="Arial"/>
    </font>
    <font>
      <color theme="1"/>
      <name val="Calibri"/>
    </font>
    <font>
      <u/>
      <color rgb="FF0563C1"/>
      <name val="Calibri"/>
      <scheme val="minor"/>
    </font>
    <font>
      <b/>
      <sz val="10.0"/>
      <color theme="1"/>
      <name val="Arial"/>
    </font>
    <font>
      <b/>
      <sz val="12.0"/>
      <color theme="1"/>
      <name val="Arial"/>
    </font>
    <font>
      <sz val="11.0"/>
      <color rgb="FF000000"/>
      <name val="Arial"/>
    </font>
    <font>
      <color rgb="FF000000"/>
      <name val="Arial"/>
    </font>
    <font>
      <color theme="1"/>
      <name val="Calibri"/>
      <scheme val="minor"/>
    </font>
    <font>
      <u/>
      <sz val="11.0"/>
      <color rgb="FF0000FF"/>
      <name val="Arial"/>
    </font>
    <font>
      <sz val="11.0"/>
      <color theme="1"/>
      <name val="Times New Roman"/>
    </font>
    <font>
      <b/>
      <strike/>
      <sz val="12.0"/>
      <color theme="1"/>
      <name val="Arial"/>
    </font>
    <font>
      <strike/>
      <sz val="10.0"/>
      <color theme="1"/>
      <name val="Arial"/>
    </font>
    <font>
      <strike/>
      <sz val="11.0"/>
      <color theme="1"/>
      <name val="Arial"/>
    </font>
    <font>
      <strike/>
      <color theme="1"/>
      <name val="Arial"/>
    </font>
    <font>
      <strike/>
      <color theme="1"/>
      <name val="Calibri"/>
      <scheme val="minor"/>
    </font>
    <font>
      <strike/>
      <sz val="11.0"/>
      <color rgb="FF000000"/>
      <name val="Arial"/>
    </font>
    <font>
      <strike/>
      <sz val="11.0"/>
      <color theme="1"/>
      <name val="Calibri"/>
      <scheme val="minor"/>
    </font>
    <font>
      <strike/>
      <color rgb="FF000000"/>
      <name val="Arial"/>
    </font>
    <font>
      <strike/>
      <sz val="11.0"/>
      <color theme="1"/>
      <name val="Times New Roman"/>
    </font>
    <font>
      <u/>
      <color rgb="FF0000FF"/>
    </font>
    <font>
      <u/>
      <sz val="10.0"/>
      <color rgb="FF1155CC"/>
      <name val="Arial"/>
    </font>
    <font>
      <i/>
      <sz val="10.0"/>
      <color theme="1"/>
      <name val="Arial"/>
    </font>
    <font>
      <sz val="12.0"/>
      <color theme="1"/>
      <name val="Arial"/>
    </font>
    <font>
      <strike/>
      <sz val="12.0"/>
      <color theme="1"/>
      <name val="Arial"/>
    </font>
    <font>
      <sz val="11.0"/>
      <color rgb="FF000000"/>
      <name val="Sans-serif"/>
    </font>
    <font>
      <sz val="12.0"/>
      <color rgb="FF000000"/>
      <name val="Sans-serif"/>
    </font>
    <font>
      <strike/>
      <sz val="11.0"/>
      <color theme="1"/>
      <name val="Calibri"/>
    </font>
    <font>
      <b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E7EDDF"/>
        <bgColor rgb="FFE7EDDF"/>
      </patternFill>
    </fill>
    <fill>
      <patternFill patternType="solid">
        <fgColor rgb="FFDDE8CB"/>
        <bgColor rgb="FFDDE8CB"/>
      </patternFill>
    </fill>
    <fill>
      <patternFill patternType="solid">
        <fgColor rgb="FFB4C7DC"/>
        <bgColor rgb="FFB4C7DC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7CAAC"/>
        <bgColor rgb="FFF7CAA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2" fontId="2" numFmtId="0" xfId="0" applyFill="1" applyFont="1"/>
    <xf borderId="0" fillId="2" fontId="5" numFmtId="0" xfId="0" applyAlignment="1" applyFont="1">
      <alignment readingOrder="0" vertical="top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12" numFmtId="0" xfId="0" applyAlignment="1" applyFill="1" applyFont="1">
      <alignment vertical="bottom"/>
    </xf>
    <xf borderId="0" fillId="0" fontId="13" numFmtId="0" xfId="0" applyAlignment="1" applyFont="1">
      <alignment readingOrder="0" vertical="bottom"/>
    </xf>
    <xf borderId="0" fillId="4" fontId="12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0" fillId="5" fontId="12" numFmtId="0" xfId="0" applyAlignment="1" applyFill="1" applyFont="1">
      <alignment vertical="bottom"/>
    </xf>
    <xf borderId="0" fillId="0" fontId="5" numFmtId="0" xfId="0" applyAlignment="1" applyFont="1">
      <alignment horizontal="right"/>
    </xf>
    <xf borderId="0" fillId="0" fontId="15" numFmtId="0" xfId="0" applyFont="1"/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6" numFmtId="0" xfId="0" applyFont="1"/>
    <xf borderId="0" fillId="2" fontId="18" numFmtId="0" xfId="0" applyAlignment="1" applyFont="1">
      <alignment readingOrder="0"/>
    </xf>
    <xf borderId="0" fillId="0" fontId="17" numFmtId="0" xfId="0" applyFont="1"/>
    <xf borderId="1" fillId="6" fontId="17" numFmtId="0" xfId="0" applyBorder="1" applyFill="1" applyFont="1"/>
    <xf borderId="1" fillId="6" fontId="15" numFmtId="0" xfId="0" applyBorder="1" applyFont="1"/>
    <xf borderId="1" fillId="6" fontId="16" numFmtId="0" xfId="0" applyAlignment="1" applyBorder="1" applyFont="1">
      <alignment shrinkToFit="0" wrapText="1"/>
    </xf>
    <xf borderId="1" fillId="6" fontId="17" numFmtId="0" xfId="0" applyAlignment="1" applyBorder="1" applyFont="1">
      <alignment shrinkToFit="0" wrapText="1"/>
    </xf>
    <xf borderId="0" fillId="6" fontId="17" numFmtId="0" xfId="0" applyFont="1"/>
    <xf borderId="1" fillId="7" fontId="19" numFmtId="0" xfId="0" applyAlignment="1" applyBorder="1" applyFill="1" applyFont="1">
      <alignment horizontal="center"/>
    </xf>
    <xf borderId="1" fillId="7" fontId="19" numFmtId="0" xfId="0" applyAlignment="1" applyBorder="1" applyFont="1">
      <alignment horizontal="center" shrinkToFit="0" wrapText="1"/>
    </xf>
    <xf borderId="1" fillId="7" fontId="19" numFmtId="0" xfId="0" applyAlignment="1" applyBorder="1" applyFont="1">
      <alignment horizontal="center" readingOrder="0" shrinkToFit="0" wrapText="1"/>
    </xf>
    <xf borderId="0" fillId="7" fontId="19" numFmtId="0" xfId="0" applyAlignment="1" applyFont="1">
      <alignment horizontal="center"/>
    </xf>
    <xf borderId="1" fillId="8" fontId="20" numFmtId="0" xfId="0" applyBorder="1" applyFill="1" applyFont="1"/>
    <xf borderId="1" fillId="8" fontId="15" numFmtId="0" xfId="0" applyBorder="1" applyFont="1"/>
    <xf borderId="1" fillId="8" fontId="15" numFmtId="0" xfId="0" applyAlignment="1" applyBorder="1" applyFont="1">
      <alignment shrinkToFit="0" wrapText="1"/>
    </xf>
    <xf borderId="0" fillId="8" fontId="15" numFmtId="0" xfId="0" applyFont="1"/>
    <xf borderId="0" fillId="2" fontId="16" numFmtId="0" xfId="0" applyAlignment="1" applyFont="1">
      <alignment readingOrder="0" vertical="top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21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/>
    </xf>
    <xf borderId="0" fillId="9" fontId="10" numFmtId="0" xfId="0" applyAlignment="1" applyFill="1" applyFont="1">
      <alignment readingOrder="0"/>
    </xf>
    <xf borderId="0" fillId="10" fontId="10" numFmtId="0" xfId="0" applyAlignment="1" applyFill="1" applyFont="1">
      <alignment readingOrder="0"/>
    </xf>
    <xf borderId="0" fillId="0" fontId="22" numFmtId="0" xfId="0" applyAlignment="1" applyFont="1">
      <alignment readingOrder="0" shrinkToFit="0" wrapText="1"/>
    </xf>
    <xf borderId="0" fillId="0" fontId="23" numFmtId="0" xfId="0" applyAlignment="1" applyFont="1">
      <alignment readingOrder="0"/>
    </xf>
    <xf borderId="0" fillId="0" fontId="10" numFmtId="0" xfId="0" applyAlignment="1" applyFont="1">
      <alignment shrinkToFit="0" wrapText="1"/>
    </xf>
    <xf borderId="1" fillId="8" fontId="10" numFmtId="0" xfId="0" applyBorder="1" applyFont="1"/>
    <xf borderId="1" fillId="8" fontId="10" numFmtId="0" xfId="0" applyAlignment="1" applyBorder="1" applyFont="1">
      <alignment shrinkToFit="0" wrapText="1"/>
    </xf>
    <xf borderId="0" fillId="0" fontId="10" numFmtId="0" xfId="0" applyAlignment="1" applyFont="1">
      <alignment horizontal="left"/>
    </xf>
    <xf borderId="0" fillId="0" fontId="24" numFmtId="0" xfId="0" applyAlignment="1" applyFont="1">
      <alignment readingOrder="0"/>
    </xf>
    <xf borderId="0" fillId="0" fontId="22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 shrinkToFit="0" vertical="top" wrapText="1"/>
    </xf>
    <xf borderId="0" fillId="0" fontId="0" numFmtId="0" xfId="0" applyFont="1"/>
    <xf borderId="0" fillId="0" fontId="25" numFmtId="0" xfId="0" applyAlignment="1" applyFont="1">
      <alignment horizontal="left"/>
    </xf>
    <xf borderId="0" fillId="0" fontId="0" numFmtId="0" xfId="0" applyAlignment="1" applyFont="1">
      <alignment shrinkToFit="0" wrapText="1"/>
    </xf>
    <xf borderId="1" fillId="8" fontId="26" numFmtId="0" xfId="0" applyAlignment="1" applyBorder="1" applyFont="1">
      <alignment readingOrder="0"/>
    </xf>
    <xf borderId="1" fillId="8" fontId="27" numFmtId="0" xfId="0" applyBorder="1" applyFont="1"/>
    <xf borderId="1" fillId="8" fontId="28" numFmtId="0" xfId="0" applyBorder="1" applyFont="1"/>
    <xf borderId="1" fillId="8" fontId="28" numFmtId="0" xfId="0" applyAlignment="1" applyBorder="1" applyFont="1">
      <alignment shrinkToFit="0" wrapText="1"/>
    </xf>
    <xf borderId="0" fillId="8" fontId="27" numFmtId="0" xfId="0" applyFont="1"/>
    <xf borderId="0" fillId="11" fontId="29" numFmtId="0" xfId="0" applyAlignment="1" applyFill="1" applyFont="1">
      <alignment readingOrder="0" vertical="top"/>
    </xf>
    <xf borderId="0" fillId="11" fontId="30" numFmtId="0" xfId="0" applyFont="1"/>
    <xf borderId="0" fillId="11" fontId="28" numFmtId="0" xfId="0" applyAlignment="1" applyFont="1">
      <alignment readingOrder="0"/>
    </xf>
    <xf borderId="0" fillId="11" fontId="31" numFmtId="0" xfId="0" applyAlignment="1" applyFont="1">
      <alignment readingOrder="0" shrinkToFit="0" wrapText="0"/>
    </xf>
    <xf borderId="0" fillId="11" fontId="32" numFmtId="0" xfId="0" applyFont="1"/>
    <xf borderId="0" fillId="11" fontId="28" numFmtId="0" xfId="0" applyFont="1"/>
    <xf borderId="0" fillId="11" fontId="30" numFmtId="0" xfId="0" applyFont="1"/>
    <xf borderId="0" fillId="11" fontId="32" numFmtId="0" xfId="0" applyAlignment="1" applyFont="1">
      <alignment readingOrder="0"/>
    </xf>
    <xf borderId="0" fillId="11" fontId="33" numFmtId="0" xfId="0" applyAlignment="1" applyFont="1">
      <alignment readingOrder="0" shrinkToFit="0" wrapText="0"/>
    </xf>
    <xf borderId="0" fillId="11" fontId="33" numFmtId="0" xfId="0" applyAlignment="1" applyFont="1">
      <alignment readingOrder="0" shrinkToFit="0" wrapText="1"/>
    </xf>
    <xf borderId="0" fillId="0" fontId="30" numFmtId="0" xfId="0" applyFont="1"/>
    <xf borderId="0" fillId="0" fontId="32" numFmtId="0" xfId="0" applyFont="1"/>
    <xf borderId="0" fillId="0" fontId="34" numFmtId="0" xfId="0" applyAlignment="1" applyFont="1">
      <alignment horizontal="left"/>
    </xf>
    <xf borderId="0" fillId="0" fontId="32" numFmtId="0" xfId="0" applyAlignment="1" applyFont="1">
      <alignment shrinkToFit="0" wrapText="1"/>
    </xf>
    <xf borderId="1" fillId="8" fontId="20" numFmtId="0" xfId="0" applyAlignment="1" applyBorder="1" applyFont="1">
      <alignment readingOrder="0"/>
    </xf>
    <xf borderId="0" fillId="0" fontId="16" numFmtId="0" xfId="0" applyAlignment="1" applyFont="1">
      <alignment readingOrder="0" vertical="top"/>
    </xf>
    <xf borderId="0" fillId="0" fontId="22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23" numFmtId="0" xfId="0" applyAlignment="1" applyFont="1">
      <alignment shrinkToFit="0" wrapText="1"/>
    </xf>
    <xf borderId="1" fillId="12" fontId="36" numFmtId="0" xfId="0" applyBorder="1" applyFill="1" applyFont="1"/>
    <xf borderId="0" fillId="0" fontId="19" numFmtId="0" xfId="0" applyFont="1"/>
    <xf borderId="0" fillId="0" fontId="15" numFmtId="0" xfId="0" applyAlignment="1" applyFont="1">
      <alignment shrinkToFit="0" wrapText="1"/>
    </xf>
    <xf borderId="0" fillId="13" fontId="1" numFmtId="0" xfId="0" applyAlignment="1" applyFill="1" applyFont="1">
      <alignment shrinkToFit="0" wrapText="1"/>
    </xf>
    <xf borderId="1" fillId="6" fontId="37" numFmtId="0" xfId="0" applyAlignment="1" applyBorder="1" applyFont="1">
      <alignment horizontal="center"/>
    </xf>
    <xf borderId="1" fillId="6" fontId="37" numFmtId="0" xfId="0" applyAlignment="1" applyBorder="1" applyFont="1">
      <alignment horizontal="center" shrinkToFit="0" wrapText="1"/>
    </xf>
    <xf borderId="1" fillId="6" fontId="37" numFmtId="0" xfId="0" applyAlignment="1" applyBorder="1" applyFont="1">
      <alignment horizontal="center" readingOrder="0"/>
    </xf>
    <xf borderId="1" fillId="13" fontId="37" numFmtId="0" xfId="0" applyAlignment="1" applyBorder="1" applyFont="1">
      <alignment horizontal="center" shrinkToFit="0" wrapText="1"/>
    </xf>
    <xf borderId="1" fillId="7" fontId="19" numFmtId="0" xfId="0" applyAlignment="1" applyBorder="1" applyFont="1">
      <alignment horizontal="center" readingOrder="0"/>
    </xf>
    <xf borderId="1" fillId="13" fontId="19" numFmtId="0" xfId="0" applyAlignment="1" applyBorder="1" applyFont="1">
      <alignment horizontal="center" shrinkToFit="0" wrapText="1"/>
    </xf>
    <xf borderId="1" fillId="8" fontId="12" numFmtId="0" xfId="0" applyBorder="1" applyFont="1"/>
    <xf borderId="1" fillId="13" fontId="38" numFmtId="0" xfId="0" applyAlignment="1" applyBorder="1" applyFont="1">
      <alignment shrinkToFit="0" wrapText="1"/>
    </xf>
    <xf borderId="1" fillId="8" fontId="38" numFmtId="0" xfId="0" applyBorder="1" applyFont="1"/>
    <xf borderId="0" fillId="14" fontId="22" numFmtId="0" xfId="0" applyAlignment="1" applyFill="1" applyFont="1">
      <alignment readingOrder="0" shrinkToFit="0" wrapText="0"/>
    </xf>
    <xf borderId="0" fillId="13" fontId="38" numFmtId="0" xfId="0" applyAlignment="1" applyFont="1">
      <alignment shrinkToFit="0" wrapText="1"/>
    </xf>
    <xf borderId="0" fillId="0" fontId="38" numFmtId="0" xfId="0" applyFont="1"/>
    <xf borderId="1" fillId="8" fontId="12" numFmtId="0" xfId="0" applyAlignment="1" applyBorder="1" applyFont="1">
      <alignment readingOrder="0"/>
    </xf>
    <xf borderId="0" fillId="15" fontId="10" numFmtId="0" xfId="0" applyFill="1" applyFont="1"/>
    <xf borderId="0" fillId="15" fontId="10" numFmtId="0" xfId="0" applyAlignment="1" applyFont="1">
      <alignment horizontal="left" readingOrder="0"/>
    </xf>
    <xf borderId="0" fillId="15" fontId="10" numFmtId="0" xfId="0" applyAlignment="1" applyFont="1">
      <alignment readingOrder="0"/>
    </xf>
    <xf borderId="0" fillId="15" fontId="10" numFmtId="0" xfId="0" applyAlignment="1" applyFont="1">
      <alignment horizontal="left" readingOrder="0" shrinkToFit="0" wrapText="1"/>
    </xf>
    <xf borderId="0" fillId="15" fontId="22" numFmtId="0" xfId="0" applyAlignment="1" applyFont="1">
      <alignment readingOrder="0"/>
    </xf>
    <xf borderId="0" fillId="15" fontId="21" numFmtId="0" xfId="0" applyAlignment="1" applyFont="1">
      <alignment readingOrder="0" shrinkToFit="0" wrapText="0"/>
    </xf>
    <xf borderId="0" fillId="15" fontId="23" numFmtId="0" xfId="0" applyAlignment="1" applyFont="1">
      <alignment readingOrder="0"/>
    </xf>
    <xf borderId="0" fillId="15" fontId="22" numFmtId="0" xfId="0" applyAlignment="1" applyFont="1">
      <alignment readingOrder="0" shrinkToFit="0" wrapText="0"/>
    </xf>
    <xf borderId="0" fillId="15" fontId="38" numFmtId="0" xfId="0" applyAlignment="1" applyFont="1">
      <alignment readingOrder="0" shrinkToFit="0" wrapText="1"/>
    </xf>
    <xf borderId="0" fillId="15" fontId="38" numFmtId="0" xfId="0" applyFont="1"/>
    <xf borderId="0" fillId="0" fontId="10" numFmtId="0" xfId="0" applyAlignment="1" applyFont="1">
      <alignment horizontal="left" shrinkToFit="0" wrapText="1"/>
    </xf>
    <xf borderId="0" fillId="13" fontId="38" numFmtId="0" xfId="0" applyAlignment="1" applyFont="1">
      <alignment readingOrder="0" shrinkToFit="0" wrapText="1"/>
    </xf>
    <xf borderId="0" fillId="11" fontId="39" numFmtId="0" xfId="0" applyAlignment="1" applyFont="1">
      <alignment shrinkToFit="0" wrapText="1"/>
    </xf>
    <xf borderId="0" fillId="11" fontId="39" numFmtId="0" xfId="0" applyFont="1"/>
    <xf borderId="0" fillId="10" fontId="22" numFmtId="0" xfId="0" applyAlignment="1" applyFont="1">
      <alignment readingOrder="0"/>
    </xf>
    <xf borderId="0" fillId="15" fontId="10" numFmtId="0" xfId="0" applyAlignment="1" applyFont="1">
      <alignment horizontal="left"/>
    </xf>
    <xf borderId="0" fillId="15" fontId="38" numFmtId="0" xfId="0" applyAlignment="1" applyFont="1">
      <alignment shrinkToFit="0" wrapText="1"/>
    </xf>
    <xf borderId="0" fillId="0" fontId="1" numFmtId="0" xfId="0" applyAlignment="1" applyFont="1">
      <alignment readingOrder="0" vertical="bottom"/>
    </xf>
    <xf borderId="0" fillId="16" fontId="40" numFmtId="0" xfId="0" applyAlignment="1" applyFill="1" applyFont="1">
      <alignment horizontal="left" readingOrder="0"/>
    </xf>
    <xf borderId="0" fillId="16" fontId="41" numFmtId="0" xfId="0" applyAlignment="1" applyFont="1">
      <alignment horizontal="left" readingOrder="0"/>
    </xf>
    <xf borderId="0" fillId="0" fontId="10" numFmtId="0" xfId="0" applyAlignment="1" applyFont="1">
      <alignment readingOrder="0" shrinkToFit="0" wrapText="1"/>
    </xf>
    <xf borderId="0" fillId="0" fontId="28" numFmtId="0" xfId="0" applyFont="1"/>
    <xf borderId="0" fillId="0" fontId="28" numFmtId="0" xfId="0" applyAlignment="1" applyFont="1">
      <alignment horizontal="left" readingOrder="0"/>
    </xf>
    <xf borderId="0" fillId="0" fontId="28" numFmtId="0" xfId="0" applyAlignment="1" applyFont="1">
      <alignment horizontal="left"/>
    </xf>
    <xf borderId="0" fillId="0" fontId="33" numFmtId="0" xfId="0" applyAlignment="1" applyFont="1">
      <alignment readingOrder="0"/>
    </xf>
    <xf borderId="0" fillId="0" fontId="31" numFmtId="0" xfId="0" applyAlignment="1" applyFont="1">
      <alignment readingOrder="0" shrinkToFit="0" wrapText="0"/>
    </xf>
    <xf borderId="0" fillId="0" fontId="42" numFmtId="0" xfId="0" applyAlignment="1" applyFont="1">
      <alignment readingOrder="0" vertical="bottom"/>
    </xf>
    <xf borderId="0" fillId="0" fontId="33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1"/>
    </xf>
    <xf borderId="0" fillId="0" fontId="28" numFmtId="0" xfId="0" applyAlignment="1" applyFont="1">
      <alignment readingOrder="0"/>
    </xf>
    <xf borderId="0" fillId="13" fontId="39" numFmtId="0" xfId="0" applyAlignment="1" applyFont="1">
      <alignment shrinkToFit="0" wrapText="1"/>
    </xf>
    <xf borderId="0" fillId="0" fontId="39" numFmtId="0" xfId="0" applyFont="1"/>
    <xf borderId="0" fillId="17" fontId="22" numFmtId="0" xfId="0" applyAlignment="1" applyFill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11" fontId="28" numFmtId="0" xfId="0" applyAlignment="1" applyFont="1">
      <alignment horizontal="left" readingOrder="0"/>
    </xf>
    <xf borderId="0" fillId="0" fontId="1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1"/>
    </xf>
    <xf borderId="0" fillId="13" fontId="10" numFmtId="0" xfId="0" applyAlignment="1" applyFont="1">
      <alignment shrinkToFit="0" wrapText="1"/>
    </xf>
    <xf borderId="0" fillId="13" fontId="23" numFmtId="0" xfId="0" applyAlignment="1" applyFont="1">
      <alignment shrinkToFit="0" wrapText="1"/>
    </xf>
    <xf borderId="0" fillId="0" fontId="43" numFmtId="0" xfId="0" applyAlignment="1" applyFont="1">
      <alignment horizontal="right" readingOrder="0" shrinkToFit="0" wrapText="0"/>
    </xf>
    <xf borderId="0" fillId="0" fontId="22" numFmtId="0" xfId="0" applyAlignment="1" applyFont="1">
      <alignment shrinkToFit="0" vertical="bottom" wrapText="0"/>
    </xf>
    <xf borderId="0" fillId="0" fontId="22" numFmtId="0" xfId="0" applyFont="1"/>
    <xf borderId="0" fillId="7" fontId="43" numFmtId="0" xfId="0" applyAlignment="1" applyFont="1">
      <alignment horizontal="center" readingOrder="0" shrinkToFit="0" wrapText="0"/>
    </xf>
    <xf borderId="0" fillId="7" fontId="43" numFmtId="0" xfId="0" applyAlignment="1" applyFont="1">
      <alignment horizontal="center" readingOrder="0"/>
    </xf>
    <xf borderId="0" fillId="7" fontId="22" numFmtId="0" xfId="0" applyAlignment="1" applyFont="1">
      <alignment horizontal="center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w3.org/2001/XMLSchema" TargetMode="External"/><Relationship Id="rId10" Type="http://schemas.openxmlformats.org/officeDocument/2006/relationships/hyperlink" Target="http://data.sparna.fr/ontologies/volipi" TargetMode="External"/><Relationship Id="rId13" Type="http://schemas.openxmlformats.org/officeDocument/2006/relationships/hyperlink" Target="http://data.sparna.fr/ontologies/sparnatural-config-datasources" TargetMode="External"/><Relationship Id="rId12" Type="http://schemas.openxmlformats.org/officeDocument/2006/relationships/hyperlink" Target="http://data.sparna.fr/ontologies/sparnatural-config-core" TargetMode="External"/><Relationship Id="rId1" Type="http://schemas.openxmlformats.org/officeDocument/2006/relationships/hyperlink" Target="http://www.cidoc-crm.org/cidoc-crm/" TargetMode="External"/><Relationship Id="rId2" Type="http://schemas.openxmlformats.org/officeDocument/2006/relationships/hyperlink" Target="http://datashapes.org/dash" TargetMode="External"/><Relationship Id="rId3" Type="http://schemas.openxmlformats.org/officeDocument/2006/relationships/hyperlink" Target="http://iflastandards.info/ns/fr/frbr/frbroo/" TargetMode="External"/><Relationship Id="rId4" Type="http://schemas.openxmlformats.org/officeDocument/2006/relationships/hyperlink" Target="http://www.w3.org/2002/07/owl" TargetMode="External"/><Relationship Id="rId9" Type="http://schemas.openxmlformats.org/officeDocument/2006/relationships/hyperlink" Target="https://shacl-play.sparna.fr/ontology" TargetMode="External"/><Relationship Id="rId15" Type="http://schemas.openxmlformats.org/officeDocument/2006/relationships/hyperlink" Target="https://data.archives.haute-garonne.fr/modeles/sacsaproces" TargetMode="External"/><Relationship Id="rId14" Type="http://schemas.openxmlformats.org/officeDocument/2006/relationships/hyperlink" Target="https://data.archives.haute-garonne.fr/vocabulaires/" TargetMode="External"/><Relationship Id="rId17" Type="http://schemas.openxmlformats.org/officeDocument/2006/relationships/hyperlink" Target="https://archives.haute-garonne.fr/" TargetMode="External"/><Relationship Id="rId16" Type="http://schemas.openxmlformats.org/officeDocument/2006/relationships/hyperlink" Target="https://data.archives.haute-garonne.fr/vocabulaires/" TargetMode="External"/><Relationship Id="rId5" Type="http://schemas.openxmlformats.org/officeDocument/2006/relationships/hyperlink" Target="http://www.w3.org/1999/02/22-rdf-syntax-ns" TargetMode="External"/><Relationship Id="rId6" Type="http://schemas.openxmlformats.org/officeDocument/2006/relationships/hyperlink" Target="http://www.w3.org/2000/01/rdf-schema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ica.org/standards/RiC/ontology" TargetMode="External"/><Relationship Id="rId8" Type="http://schemas.openxmlformats.org/officeDocument/2006/relationships/hyperlink" Target="http://www.w3.org/ns/shac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6GqNxMBVkflrJGj2kAm-wYz0Ey7nEOt/export?format=xls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.archives.haute-garonne.fr/concept/su" TargetMode="External"/><Relationship Id="rId10" Type="http://schemas.openxmlformats.org/officeDocument/2006/relationships/hyperlink" Target="https://data.archives.haute-garonne.fr/concept/ac" TargetMode="External"/><Relationship Id="rId13" Type="http://schemas.openxmlformats.org/officeDocument/2006/relationships/hyperlink" Target="https://data.archives.haute-garonne.fr/concept/cl" TargetMode="External"/><Relationship Id="rId12" Type="http://schemas.openxmlformats.org/officeDocument/2006/relationships/hyperlink" Target="https://data.archives.haute-garonne.fr/concept/sx" TargetMode="External"/><Relationship Id="rId1" Type="http://schemas.openxmlformats.org/officeDocument/2006/relationships/hyperlink" Target="https://archives.haute-garonne.fr/" TargetMode="External"/><Relationship Id="rId2" Type="http://schemas.openxmlformats.org/officeDocument/2006/relationships/hyperlink" Target="https://data.archives.haute-garonne.fr/archive/ark:/" TargetMode="External"/><Relationship Id="rId3" Type="http://schemas.openxmlformats.org/officeDocument/2006/relationships/hyperlink" Target="https://data.archives.haute-garonne.fr/type/" TargetMode="External"/><Relationship Id="rId4" Type="http://schemas.openxmlformats.org/officeDocument/2006/relationships/hyperlink" Target="https://data.archives.haute-garonne.fr/type/" TargetMode="External"/><Relationship Id="rId9" Type="http://schemas.openxmlformats.org/officeDocument/2006/relationships/hyperlink" Target="https://data.archives.haute-garonne.fr/concept/pr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ata.archives.haute-garonne.fr/concept/cl" TargetMode="External"/><Relationship Id="rId5" Type="http://schemas.openxmlformats.org/officeDocument/2006/relationships/hyperlink" Target="https://data.archives.haute-garonne.fr/concept/ju" TargetMode="External"/><Relationship Id="rId6" Type="http://schemas.openxmlformats.org/officeDocument/2006/relationships/hyperlink" Target="https://data.archives.haute-garonne.fr/concept/ct" TargetMode="External"/><Relationship Id="rId7" Type="http://schemas.openxmlformats.org/officeDocument/2006/relationships/hyperlink" Target="https://data.archives.haute-garonne.fr/concept/li" TargetMode="External"/><Relationship Id="rId8" Type="http://schemas.openxmlformats.org/officeDocument/2006/relationships/hyperlink" Target="https://data.archives.haute-garonne.fr/concept/f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s.haute-garonne.fr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71"/>
    <col customWidth="1" min="3" max="3" width="64.57"/>
    <col customWidth="1" min="4" max="26" width="8.71"/>
  </cols>
  <sheetData>
    <row r="1" ht="14.25" customHeight="1">
      <c r="A1" s="1"/>
      <c r="B1" s="1"/>
      <c r="C1" s="1"/>
    </row>
    <row r="2" ht="14.25" customHeight="1">
      <c r="A2" s="2" t="s">
        <v>0</v>
      </c>
      <c r="B2" s="2" t="s">
        <v>1</v>
      </c>
      <c r="C2" s="3" t="s">
        <v>2</v>
      </c>
    </row>
    <row r="3" ht="14.25" customHeight="1">
      <c r="A3" s="2" t="s">
        <v>0</v>
      </c>
      <c r="B3" s="2" t="s">
        <v>3</v>
      </c>
      <c r="C3" s="3" t="s">
        <v>4</v>
      </c>
    </row>
    <row r="4" ht="14.25" customHeight="1">
      <c r="A4" s="2" t="s">
        <v>0</v>
      </c>
      <c r="B4" s="2" t="s">
        <v>5</v>
      </c>
      <c r="C4" s="3" t="s">
        <v>6</v>
      </c>
    </row>
    <row r="5" ht="14.25" customHeight="1">
      <c r="A5" s="2" t="s">
        <v>0</v>
      </c>
      <c r="B5" s="2" t="s">
        <v>7</v>
      </c>
      <c r="C5" s="3" t="s">
        <v>8</v>
      </c>
    </row>
    <row r="6" ht="14.25" customHeight="1">
      <c r="A6" s="2" t="s">
        <v>0</v>
      </c>
      <c r="B6" s="2" t="s">
        <v>9</v>
      </c>
      <c r="C6" s="3" t="s">
        <v>10</v>
      </c>
    </row>
    <row r="7" ht="14.25" customHeight="1">
      <c r="A7" s="2" t="s">
        <v>0</v>
      </c>
      <c r="B7" s="2" t="s">
        <v>11</v>
      </c>
      <c r="C7" s="3" t="s">
        <v>12</v>
      </c>
    </row>
    <row r="8" ht="14.25" customHeight="1">
      <c r="A8" s="2" t="s">
        <v>0</v>
      </c>
      <c r="B8" s="2" t="s">
        <v>13</v>
      </c>
      <c r="C8" s="4" t="s">
        <v>14</v>
      </c>
    </row>
    <row r="9" ht="14.25" customHeight="1">
      <c r="A9" s="2" t="s">
        <v>0</v>
      </c>
      <c r="B9" s="2" t="s">
        <v>15</v>
      </c>
      <c r="C9" s="3" t="s">
        <v>16</v>
      </c>
    </row>
    <row r="10" ht="14.25" customHeight="1">
      <c r="A10" s="2" t="s">
        <v>0</v>
      </c>
      <c r="B10" s="5" t="s">
        <v>17</v>
      </c>
      <c r="C10" s="3" t="s">
        <v>18</v>
      </c>
    </row>
    <row r="11" ht="14.25" customHeight="1">
      <c r="A11" s="2" t="s">
        <v>0</v>
      </c>
      <c r="B11" s="2" t="s">
        <v>19</v>
      </c>
      <c r="C11" s="3" t="s">
        <v>20</v>
      </c>
    </row>
    <row r="12" ht="14.25" customHeight="1">
      <c r="A12" s="2" t="s">
        <v>0</v>
      </c>
      <c r="B12" s="2" t="s">
        <v>21</v>
      </c>
      <c r="C12" s="3" t="s">
        <v>22</v>
      </c>
    </row>
    <row r="13" ht="14.25" customHeight="1">
      <c r="A13" s="2" t="s">
        <v>0</v>
      </c>
      <c r="B13" s="6" t="s">
        <v>23</v>
      </c>
      <c r="C13" s="7" t="s">
        <v>24</v>
      </c>
    </row>
    <row r="14" ht="14.25" customHeight="1">
      <c r="A14" s="2" t="s">
        <v>0</v>
      </c>
      <c r="B14" s="6" t="s">
        <v>25</v>
      </c>
      <c r="C14" s="7" t="s">
        <v>26</v>
      </c>
    </row>
    <row r="15" ht="14.25" customHeight="1">
      <c r="A15" s="8" t="s">
        <v>0</v>
      </c>
      <c r="B15" s="9" t="s">
        <v>27</v>
      </c>
      <c r="C15" s="10" t="s">
        <v>28</v>
      </c>
    </row>
    <row r="16" ht="14.25" customHeight="1">
      <c r="A16" s="8" t="s">
        <v>0</v>
      </c>
      <c r="B16" s="9" t="s">
        <v>29</v>
      </c>
      <c r="C16" s="11" t="s">
        <v>30</v>
      </c>
    </row>
    <row r="17" ht="14.25" customHeight="1">
      <c r="A17" s="8" t="s">
        <v>0</v>
      </c>
      <c r="B17" s="9" t="s">
        <v>31</v>
      </c>
      <c r="C17" s="10" t="s">
        <v>32</v>
      </c>
    </row>
    <row r="18" ht="14.25" customHeight="1">
      <c r="A18" s="8" t="s">
        <v>0</v>
      </c>
      <c r="B18" s="8" t="s">
        <v>33</v>
      </c>
      <c r="C18" s="12" t="s">
        <v>34</v>
      </c>
    </row>
    <row r="19" ht="14.25" customHeight="1"/>
    <row r="20" ht="14.25" customHeight="1">
      <c r="A20" s="13"/>
      <c r="B20" s="14"/>
      <c r="C20" s="1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printOptions/>
  <pageMargins bottom="0.7519685039370079" footer="0.0" header="0.0" left="0.7007874015748032" right="0.7007874015748032" top="0.7519685039370079"/>
  <pageSetup paperSize="9" orientation="portrait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35</v>
      </c>
      <c r="B2" s="18" t="s">
        <v>36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 t="s">
        <v>37</v>
      </c>
      <c r="B3" s="20" t="str">
        <f>CONCATENATE("https://xls2rdf.sparna.fr/rest/convert?noPostProcessings=true&amp;url=",ENCODEURL(B2))</f>
        <v>https://xls2rdf.sparna.fr/rest/convert?noPostProcessings=true&amp;url=https%3A%2F%2Fdocs.google.com%2Fspreadsheets%2Fd%2F1X6GqNxMBVkflrJGj2kAm-wYz0Ey7nEOt%2Fexport%3Fformat%3Dxlsx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1" t="s">
        <v>38</v>
      </c>
      <c r="B4" s="20" t="str">
        <f>CONCATENATE("https://shacl-play.sparna.fr/play/doc?language=fr&amp;includeDiagram=true&amp;url=",ENCODEURL($B$3))</f>
        <v>https://shacl-play.sparna.fr/play/doc?language=fr&amp;includeDiagram=true&amp;url=https%3A%2F%2Fxls2rdf.sparna.fr%2Frest%2Fconvert%3FnoPostProcessings%3Dtrue%26url%3Dhttps%253A%252F%252Fdocs.google.com%252Fspreadsheets%252Fd%252F1X6GqNxMBVkflrJGj2kAm-wYz0Ey7nEOt%252Fexport%253Fformat%253Dxlsx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1.43"/>
    <col customWidth="1" min="2" max="2" width="23.86"/>
    <col customWidth="1" min="3" max="3" width="29.86"/>
    <col customWidth="1" min="4" max="6" width="23.86"/>
    <col customWidth="1" min="7" max="7" width="74.29"/>
    <col customWidth="1" min="8" max="10" width="23.86"/>
    <col customWidth="1" min="11" max="11" width="37.71"/>
    <col customWidth="1" min="12" max="12" width="127.14"/>
    <col customWidth="1" min="13" max="13" width="52.29"/>
    <col customWidth="1" min="14" max="15" width="29.14"/>
    <col customWidth="1" min="16" max="18" width="23.86"/>
    <col customWidth="1" min="19" max="41" width="8.71"/>
  </cols>
  <sheetData>
    <row r="1" ht="14.25" customHeight="1">
      <c r="A1" s="22" t="s">
        <v>39</v>
      </c>
      <c r="B1" s="10" t="s">
        <v>40</v>
      </c>
      <c r="C1" s="1"/>
      <c r="D1" s="1"/>
      <c r="E1" s="23"/>
      <c r="F1" s="1"/>
      <c r="G1" s="1"/>
      <c r="H1" s="1"/>
      <c r="I1" s="24"/>
      <c r="J1" s="24"/>
      <c r="K1" s="1"/>
      <c r="L1" s="1"/>
      <c r="M1" s="25"/>
      <c r="N1" s="25"/>
      <c r="O1" s="25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4.25" customHeight="1">
      <c r="A2" s="26" t="s">
        <v>41</v>
      </c>
      <c r="B2" s="27" t="s">
        <v>42</v>
      </c>
      <c r="C2" s="1"/>
      <c r="D2" s="1"/>
      <c r="E2" s="23"/>
      <c r="F2" s="1"/>
      <c r="G2" s="1"/>
      <c r="H2" s="1"/>
      <c r="I2" s="24"/>
      <c r="J2" s="24"/>
      <c r="K2" s="1"/>
      <c r="L2" s="1"/>
      <c r="M2" s="25"/>
      <c r="N2" s="25"/>
      <c r="O2" s="2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4.25" customHeight="1">
      <c r="A3" s="26" t="s">
        <v>43</v>
      </c>
      <c r="B3" s="27" t="s">
        <v>44</v>
      </c>
      <c r="C3" s="1"/>
      <c r="D3" s="1"/>
      <c r="E3" s="23"/>
      <c r="F3" s="1"/>
      <c r="G3" s="1"/>
      <c r="H3" s="1"/>
      <c r="I3" s="24"/>
      <c r="J3" s="24"/>
      <c r="K3" s="1"/>
      <c r="L3" s="1"/>
      <c r="M3" s="25"/>
      <c r="N3" s="25"/>
      <c r="O3" s="2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4.25" customHeight="1">
      <c r="A4" s="26" t="s">
        <v>45</v>
      </c>
      <c r="B4" s="27"/>
      <c r="C4" s="1"/>
      <c r="D4" s="1"/>
      <c r="E4" s="23"/>
      <c r="F4" s="1"/>
      <c r="G4" s="1"/>
      <c r="H4" s="1"/>
      <c r="I4" s="24"/>
      <c r="J4" s="24"/>
      <c r="K4" s="1"/>
      <c r="L4" s="1"/>
      <c r="M4" s="25"/>
      <c r="N4" s="25"/>
      <c r="O4" s="2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4.25" customHeight="1">
      <c r="A5" s="26" t="s">
        <v>46</v>
      </c>
      <c r="B5" s="27" t="s">
        <v>47</v>
      </c>
      <c r="C5" s="1"/>
      <c r="D5" s="1"/>
      <c r="E5" s="23"/>
      <c r="F5" s="1"/>
      <c r="G5" s="1"/>
      <c r="H5" s="1"/>
      <c r="I5" s="24"/>
      <c r="J5" s="24"/>
      <c r="K5" s="1"/>
      <c r="L5" s="1"/>
      <c r="M5" s="25"/>
      <c r="N5" s="25"/>
      <c r="O5" s="25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ht="14.25" customHeight="1">
      <c r="A6" s="26" t="s">
        <v>48</v>
      </c>
      <c r="B6" s="27" t="s">
        <v>49</v>
      </c>
      <c r="C6" s="1"/>
      <c r="D6" s="1"/>
      <c r="E6" s="23"/>
      <c r="F6" s="1"/>
      <c r="G6" s="1"/>
      <c r="H6" s="1"/>
      <c r="I6" s="24"/>
      <c r="J6" s="24"/>
      <c r="K6" s="1"/>
      <c r="L6" s="1"/>
      <c r="M6" s="25"/>
      <c r="N6" s="25"/>
      <c r="O6" s="25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ht="14.25" customHeight="1">
      <c r="A7" s="26"/>
      <c r="B7" s="28"/>
      <c r="C7" s="28"/>
      <c r="D7" s="28"/>
      <c r="E7" s="23"/>
      <c r="F7" s="1"/>
      <c r="G7" s="1"/>
      <c r="H7" s="1"/>
      <c r="I7" s="24"/>
      <c r="J7" s="24"/>
      <c r="K7" s="1"/>
      <c r="L7" s="1"/>
      <c r="M7" s="25"/>
      <c r="N7" s="25"/>
      <c r="O7" s="2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ht="14.25" customHeight="1">
      <c r="A8" s="1"/>
      <c r="B8" s="23"/>
      <c r="C8" s="23"/>
      <c r="D8" s="23"/>
      <c r="E8" s="23"/>
      <c r="F8" s="1"/>
      <c r="G8" s="1"/>
      <c r="H8" s="1"/>
      <c r="I8" s="24"/>
      <c r="J8" s="24"/>
      <c r="K8" s="1"/>
      <c r="L8" s="1"/>
      <c r="M8" s="25"/>
      <c r="N8" s="25"/>
      <c r="O8" s="2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ht="14.25" customHeight="1">
      <c r="A9" s="1"/>
      <c r="B9" s="23"/>
      <c r="C9" s="23"/>
      <c r="D9" s="23"/>
      <c r="E9" s="23"/>
      <c r="F9" s="1"/>
      <c r="G9" s="1"/>
      <c r="H9" s="1"/>
      <c r="I9" s="24"/>
      <c r="J9" s="24"/>
      <c r="K9" s="1"/>
      <c r="L9" s="1"/>
      <c r="M9" s="25"/>
      <c r="N9" s="25"/>
      <c r="O9" s="2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ht="14.25" customHeight="1">
      <c r="A10" s="29"/>
      <c r="B10" s="30"/>
      <c r="C10" s="30"/>
      <c r="D10" s="30"/>
      <c r="E10" s="30"/>
      <c r="F10" s="29"/>
      <c r="G10" s="29"/>
      <c r="H10" s="29"/>
      <c r="I10" s="31"/>
      <c r="J10" s="31"/>
      <c r="K10" s="29"/>
      <c r="L10" s="29"/>
      <c r="M10" s="32"/>
      <c r="N10" s="32"/>
      <c r="O10" s="32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33"/>
      <c r="AN10" s="33"/>
      <c r="AO10" s="33"/>
    </row>
    <row r="11" ht="14.25" customHeight="1">
      <c r="A11" s="34" t="s">
        <v>50</v>
      </c>
      <c r="B11" s="35" t="s">
        <v>51</v>
      </c>
      <c r="C11" s="35" t="s">
        <v>52</v>
      </c>
      <c r="D11" s="34" t="s">
        <v>53</v>
      </c>
      <c r="E11" s="34" t="s">
        <v>54</v>
      </c>
      <c r="F11" s="34" t="s">
        <v>55</v>
      </c>
      <c r="G11" s="35" t="s">
        <v>56</v>
      </c>
      <c r="H11" s="34" t="s">
        <v>57</v>
      </c>
      <c r="I11" s="35" t="s">
        <v>58</v>
      </c>
      <c r="J11" s="35" t="s">
        <v>59</v>
      </c>
      <c r="K11" s="35" t="s">
        <v>60</v>
      </c>
      <c r="L11" s="35" t="s">
        <v>61</v>
      </c>
      <c r="M11" s="35" t="s">
        <v>62</v>
      </c>
      <c r="N11" s="36" t="s">
        <v>63</v>
      </c>
      <c r="O11" s="36" t="s">
        <v>64</v>
      </c>
      <c r="P11" s="34" t="s">
        <v>65</v>
      </c>
      <c r="Q11" s="34" t="s">
        <v>66</v>
      </c>
      <c r="R11" s="34" t="s">
        <v>67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7"/>
      <c r="AN11" s="37"/>
      <c r="AO11" s="37"/>
    </row>
    <row r="12" ht="14.25" customHeight="1">
      <c r="A12" s="38" t="s">
        <v>68</v>
      </c>
      <c r="B12" s="39"/>
      <c r="C12" s="39"/>
      <c r="D12" s="39"/>
      <c r="E12" s="40"/>
      <c r="F12" s="39"/>
      <c r="G12" s="39"/>
      <c r="H12" s="39"/>
      <c r="I12" s="40"/>
      <c r="J12" s="40"/>
      <c r="K12" s="39"/>
      <c r="L12" s="39"/>
      <c r="M12" s="40"/>
      <c r="N12" s="40"/>
      <c r="O12" s="40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1"/>
      <c r="AN12" s="41"/>
      <c r="AO12" s="41"/>
    </row>
    <row r="13" ht="14.25" customHeight="1">
      <c r="A13" s="42" t="s">
        <v>69</v>
      </c>
      <c r="B13" s="43"/>
      <c r="C13" s="44" t="s">
        <v>70</v>
      </c>
      <c r="D13" s="45" t="s">
        <v>71</v>
      </c>
      <c r="E13" s="46" t="s">
        <v>72</v>
      </c>
      <c r="F13" s="43"/>
      <c r="G13" s="43"/>
      <c r="H13" s="46" t="s">
        <v>73</v>
      </c>
      <c r="I13" s="43"/>
      <c r="J13" s="46" t="s">
        <v>74</v>
      </c>
      <c r="K13" s="47"/>
      <c r="L13" s="48" t="s">
        <v>75</v>
      </c>
      <c r="M13" s="49" t="s">
        <v>76</v>
      </c>
      <c r="N13" s="49" t="b">
        <v>1</v>
      </c>
      <c r="O13" s="49" t="s">
        <v>77</v>
      </c>
      <c r="P13" s="50" t="s">
        <v>78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</row>
    <row r="14" ht="14.25" customHeight="1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51"/>
      <c r="N14" s="51"/>
      <c r="O14" s="51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</row>
    <row r="15" ht="14.25" customHeight="1">
      <c r="A15" s="38" t="s">
        <v>79</v>
      </c>
      <c r="B15" s="39"/>
      <c r="C15" s="39"/>
      <c r="D15" s="52"/>
      <c r="E15" s="53"/>
      <c r="F15" s="52"/>
      <c r="G15" s="52"/>
      <c r="H15" s="52"/>
      <c r="I15" s="53"/>
      <c r="J15" s="53"/>
      <c r="K15" s="52"/>
      <c r="L15" s="52"/>
      <c r="M15" s="53"/>
      <c r="N15" s="53"/>
      <c r="O15" s="53"/>
      <c r="P15" s="52"/>
      <c r="Q15" s="52"/>
      <c r="R15" s="52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41"/>
      <c r="AN15" s="41"/>
      <c r="AO15" s="41"/>
    </row>
    <row r="16" ht="14.25" customHeight="1">
      <c r="A16" s="42" t="s">
        <v>80</v>
      </c>
      <c r="B16" s="43"/>
      <c r="C16" s="44" t="s">
        <v>81</v>
      </c>
      <c r="D16" s="45" t="s">
        <v>71</v>
      </c>
      <c r="E16" s="54" t="s">
        <v>82</v>
      </c>
      <c r="F16" s="43"/>
      <c r="G16" s="43"/>
      <c r="H16" s="46" t="s">
        <v>79</v>
      </c>
      <c r="I16" s="43"/>
      <c r="J16" s="46" t="s">
        <v>83</v>
      </c>
      <c r="K16" s="47"/>
      <c r="L16" s="44" t="s">
        <v>84</v>
      </c>
      <c r="M16" s="49" t="s">
        <v>85</v>
      </c>
      <c r="N16" s="49" t="b">
        <v>1</v>
      </c>
      <c r="O16" s="49" t="s">
        <v>77</v>
      </c>
      <c r="P16" s="44" t="s">
        <v>86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</row>
    <row r="17" ht="14.2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51"/>
      <c r="N17" s="51"/>
      <c r="O17" s="51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 ht="14.25" customHeight="1">
      <c r="A18" s="38" t="s">
        <v>87</v>
      </c>
      <c r="B18" s="39"/>
      <c r="C18" s="39"/>
      <c r="D18" s="52"/>
      <c r="E18" s="53"/>
      <c r="F18" s="52"/>
      <c r="G18" s="52"/>
      <c r="H18" s="52"/>
      <c r="I18" s="53"/>
      <c r="J18" s="53"/>
      <c r="K18" s="52"/>
      <c r="L18" s="52"/>
      <c r="M18" s="53"/>
      <c r="N18" s="53"/>
      <c r="O18" s="53"/>
      <c r="P18" s="52"/>
      <c r="Q18" s="52"/>
      <c r="R18" s="52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41"/>
      <c r="AN18" s="41"/>
      <c r="AO18" s="41"/>
    </row>
    <row r="19" ht="14.25" customHeight="1">
      <c r="A19" s="42" t="s">
        <v>88</v>
      </c>
      <c r="B19" s="43"/>
      <c r="C19" s="44" t="s">
        <v>89</v>
      </c>
      <c r="D19" s="45" t="s">
        <v>71</v>
      </c>
      <c r="E19" s="46" t="s">
        <v>90</v>
      </c>
      <c r="F19" s="43"/>
      <c r="G19" s="43"/>
      <c r="H19" s="46" t="s">
        <v>91</v>
      </c>
      <c r="I19" s="43"/>
      <c r="J19" s="46" t="s">
        <v>92</v>
      </c>
      <c r="K19" s="43"/>
      <c r="L19" s="55" t="s">
        <v>93</v>
      </c>
      <c r="M19" s="49" t="s">
        <v>76</v>
      </c>
      <c r="N19" s="49" t="b">
        <v>1</v>
      </c>
      <c r="O19" s="49" t="s">
        <v>77</v>
      </c>
      <c r="P19" s="44" t="s">
        <v>94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 ht="14.2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51"/>
      <c r="N20" s="51"/>
      <c r="O20" s="51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</row>
    <row r="21" ht="14.25" customHeight="1">
      <c r="A21" s="38" t="s">
        <v>95</v>
      </c>
      <c r="B21" s="39"/>
      <c r="C21" s="39"/>
      <c r="D21" s="52"/>
      <c r="E21" s="53"/>
      <c r="F21" s="52"/>
      <c r="G21" s="52"/>
      <c r="H21" s="52"/>
      <c r="I21" s="53"/>
      <c r="J21" s="53"/>
      <c r="K21" s="52"/>
      <c r="L21" s="52"/>
      <c r="M21" s="53"/>
      <c r="N21" s="53"/>
      <c r="O21" s="53"/>
      <c r="P21" s="52"/>
      <c r="Q21" s="52"/>
      <c r="R21" s="52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41"/>
      <c r="AN21" s="41"/>
      <c r="AO21" s="41"/>
    </row>
    <row r="22" ht="14.25" customHeight="1">
      <c r="A22" s="42" t="s">
        <v>96</v>
      </c>
      <c r="B22" s="43"/>
      <c r="C22" s="44" t="s">
        <v>97</v>
      </c>
      <c r="D22" s="45" t="s">
        <v>71</v>
      </c>
      <c r="E22" s="54" t="s">
        <v>98</v>
      </c>
      <c r="F22" s="43"/>
      <c r="G22" s="43"/>
      <c r="H22" s="46" t="s">
        <v>99</v>
      </c>
      <c r="I22" s="43"/>
      <c r="J22" s="46" t="s">
        <v>100</v>
      </c>
      <c r="K22" s="43"/>
      <c r="L22" s="44" t="s">
        <v>101</v>
      </c>
      <c r="M22" s="56" t="s">
        <v>102</v>
      </c>
      <c r="N22" s="49" t="b">
        <v>1</v>
      </c>
      <c r="O22" s="49" t="s">
        <v>77</v>
      </c>
      <c r="P22" s="44" t="s">
        <v>103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</row>
    <row r="23" ht="14.2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51"/>
      <c r="N23" s="51"/>
      <c r="O23" s="51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</row>
    <row r="24" ht="14.25" customHeight="1">
      <c r="A24" s="38" t="s">
        <v>104</v>
      </c>
      <c r="B24" s="39"/>
      <c r="C24" s="39"/>
      <c r="D24" s="52"/>
      <c r="E24" s="53"/>
      <c r="F24" s="52"/>
      <c r="G24" s="52"/>
      <c r="H24" s="52"/>
      <c r="I24" s="53"/>
      <c r="J24" s="53"/>
      <c r="K24" s="52"/>
      <c r="L24" s="52"/>
      <c r="M24" s="53"/>
      <c r="N24" s="53"/>
      <c r="O24" s="53"/>
      <c r="P24" s="52"/>
      <c r="Q24" s="52"/>
      <c r="R24" s="52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1"/>
      <c r="AN24" s="41"/>
      <c r="AO24" s="41"/>
    </row>
    <row r="25" ht="14.25" customHeight="1">
      <c r="A25" s="42" t="s">
        <v>105</v>
      </c>
      <c r="B25" s="43"/>
      <c r="C25" s="44" t="s">
        <v>106</v>
      </c>
      <c r="D25" s="45" t="s">
        <v>71</v>
      </c>
      <c r="E25" s="46"/>
      <c r="F25" s="43" t="str">
        <f>CONCATENATE(A25,"-target")</f>
        <v>sacs:Instruction-target</v>
      </c>
      <c r="G25" s="44" t="s">
        <v>107</v>
      </c>
      <c r="H25" s="46" t="s">
        <v>104</v>
      </c>
      <c r="I25" s="43"/>
      <c r="J25" s="46" t="s">
        <v>108</v>
      </c>
      <c r="K25" s="43"/>
      <c r="L25" s="44" t="s">
        <v>101</v>
      </c>
      <c r="M25" s="49" t="s">
        <v>85</v>
      </c>
      <c r="N25" s="49" t="b">
        <v>1</v>
      </c>
      <c r="O25" s="49" t="s">
        <v>77</v>
      </c>
      <c r="P25" s="44" t="s">
        <v>103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</row>
    <row r="26" ht="14.2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51"/>
      <c r="N26" s="51"/>
      <c r="O26" s="51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 ht="14.25" customHeight="1">
      <c r="A27" s="38" t="s">
        <v>109</v>
      </c>
      <c r="B27" s="39"/>
      <c r="C27" s="39"/>
      <c r="D27" s="52"/>
      <c r="E27" s="53"/>
      <c r="F27" s="52"/>
      <c r="G27" s="52"/>
      <c r="H27" s="52"/>
      <c r="I27" s="53"/>
      <c r="J27" s="53"/>
      <c r="K27" s="52"/>
      <c r="L27" s="52"/>
      <c r="M27" s="53"/>
      <c r="N27" s="53"/>
      <c r="O27" s="53"/>
      <c r="P27" s="52"/>
      <c r="Q27" s="52"/>
      <c r="R27" s="52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41"/>
      <c r="AN27" s="41"/>
      <c r="AO27" s="41"/>
    </row>
    <row r="28" ht="14.25" customHeight="1">
      <c r="A28" s="42" t="s">
        <v>110</v>
      </c>
      <c r="B28" s="43"/>
      <c r="C28" s="44" t="s">
        <v>111</v>
      </c>
      <c r="D28" s="45" t="s">
        <v>71</v>
      </c>
      <c r="E28" s="46"/>
      <c r="F28" s="43" t="str">
        <f>CONCATENATE(A28,"-target")</f>
        <v>sacs:Juridiction-target</v>
      </c>
      <c r="G28" s="55" t="s">
        <v>112</v>
      </c>
      <c r="H28" s="46" t="s">
        <v>109</v>
      </c>
      <c r="I28" s="43"/>
      <c r="J28" s="46" t="s">
        <v>113</v>
      </c>
      <c r="K28" s="43"/>
      <c r="L28" s="44" t="s">
        <v>114</v>
      </c>
      <c r="M28" s="49" t="s">
        <v>85</v>
      </c>
      <c r="N28" s="49" t="b">
        <v>1</v>
      </c>
      <c r="O28" s="49" t="s">
        <v>77</v>
      </c>
      <c r="P28" s="44" t="s">
        <v>115</v>
      </c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 ht="14.2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51"/>
      <c r="N29" s="51"/>
      <c r="O29" s="51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 ht="14.25" customHeight="1">
      <c r="A30" s="38" t="s">
        <v>116</v>
      </c>
      <c r="B30" s="39"/>
      <c r="C30" s="39"/>
      <c r="D30" s="52"/>
      <c r="E30" s="53"/>
      <c r="F30" s="52"/>
      <c r="G30" s="52"/>
      <c r="H30" s="52"/>
      <c r="I30" s="53"/>
      <c r="J30" s="53"/>
      <c r="K30" s="52"/>
      <c r="L30" s="52"/>
      <c r="M30" s="53"/>
      <c r="N30" s="53"/>
      <c r="O30" s="53"/>
      <c r="P30" s="52"/>
      <c r="Q30" s="52"/>
      <c r="R30" s="52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41"/>
      <c r="AN30" s="41"/>
      <c r="AO30" s="41"/>
    </row>
    <row r="31" ht="14.25" customHeight="1">
      <c r="A31" s="42" t="s">
        <v>117</v>
      </c>
      <c r="B31" s="43"/>
      <c r="C31" s="44" t="s">
        <v>118</v>
      </c>
      <c r="D31" s="45" t="s">
        <v>71</v>
      </c>
      <c r="E31" s="46"/>
      <c r="F31" s="43" t="str">
        <f>CONCATENATE(A31,"-target")</f>
        <v>sacs:Liasse-target</v>
      </c>
      <c r="G31" s="44" t="s">
        <v>119</v>
      </c>
      <c r="H31" s="46" t="s">
        <v>116</v>
      </c>
      <c r="I31" s="43"/>
      <c r="J31" s="46" t="s">
        <v>120</v>
      </c>
      <c r="K31" s="43"/>
      <c r="L31" s="44" t="s">
        <v>121</v>
      </c>
      <c r="M31" s="49" t="s">
        <v>76</v>
      </c>
      <c r="N31" s="49" t="b">
        <v>1</v>
      </c>
      <c r="O31" s="49" t="s">
        <v>77</v>
      </c>
      <c r="P31" s="44" t="s">
        <v>122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 ht="14.2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51"/>
      <c r="N32" s="51"/>
      <c r="O32" s="51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 ht="14.25" customHeight="1">
      <c r="A33" s="38" t="s">
        <v>123</v>
      </c>
      <c r="B33" s="39"/>
      <c r="C33" s="39"/>
      <c r="D33" s="52"/>
      <c r="E33" s="53"/>
      <c r="F33" s="52"/>
      <c r="G33" s="52"/>
      <c r="H33" s="52"/>
      <c r="I33" s="53"/>
      <c r="J33" s="53"/>
      <c r="K33" s="52"/>
      <c r="L33" s="52"/>
      <c r="M33" s="53"/>
      <c r="N33" s="53"/>
      <c r="O33" s="53"/>
      <c r="P33" s="52"/>
      <c r="Q33" s="52"/>
      <c r="R33" s="52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41"/>
      <c r="AN33" s="41"/>
      <c r="AO33" s="41"/>
    </row>
    <row r="34" ht="14.25" customHeight="1">
      <c r="A34" s="42" t="s">
        <v>124</v>
      </c>
      <c r="B34" s="43"/>
      <c r="C34" s="44" t="s">
        <v>125</v>
      </c>
      <c r="D34" s="45" t="s">
        <v>71</v>
      </c>
      <c r="E34" s="54" t="s">
        <v>126</v>
      </c>
      <c r="F34" s="43"/>
      <c r="G34" s="43"/>
      <c r="H34" s="46" t="s">
        <v>123</v>
      </c>
      <c r="I34" s="43"/>
      <c r="J34" s="46" t="s">
        <v>127</v>
      </c>
      <c r="K34" s="43"/>
      <c r="L34" s="44" t="s">
        <v>128</v>
      </c>
      <c r="M34" s="56" t="s">
        <v>102</v>
      </c>
      <c r="N34" s="49" t="b">
        <v>1</v>
      </c>
      <c r="O34" s="49" t="s">
        <v>77</v>
      </c>
      <c r="P34" s="44" t="s">
        <v>129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ht="14.2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51"/>
      <c r="N35" s="51"/>
      <c r="O35" s="51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 ht="14.25" customHeight="1">
      <c r="A36" s="38" t="s">
        <v>130</v>
      </c>
      <c r="B36" s="39"/>
      <c r="C36" s="39"/>
      <c r="D36" s="52"/>
      <c r="E36" s="53"/>
      <c r="F36" s="52"/>
      <c r="G36" s="52"/>
      <c r="H36" s="52"/>
      <c r="I36" s="53"/>
      <c r="J36" s="53"/>
      <c r="K36" s="52"/>
      <c r="L36" s="52"/>
      <c r="M36" s="53"/>
      <c r="N36" s="53"/>
      <c r="O36" s="53"/>
      <c r="P36" s="52"/>
      <c r="Q36" s="52"/>
      <c r="R36" s="52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1"/>
      <c r="AN36" s="41"/>
      <c r="AO36" s="41"/>
    </row>
    <row r="37" ht="14.25" customHeight="1">
      <c r="A37" s="42" t="s">
        <v>131</v>
      </c>
      <c r="B37" s="43"/>
      <c r="C37" s="44" t="s">
        <v>132</v>
      </c>
      <c r="D37" s="45" t="s">
        <v>71</v>
      </c>
      <c r="E37" s="46"/>
      <c r="F37" s="43" t="str">
        <f>CONCATENATE(A37,"-target")</f>
        <v>sacs:Procedure-target</v>
      </c>
      <c r="G37" s="44" t="s">
        <v>133</v>
      </c>
      <c r="H37" s="46" t="s">
        <v>130</v>
      </c>
      <c r="I37" s="43"/>
      <c r="J37" s="46" t="s">
        <v>134</v>
      </c>
      <c r="K37" s="43"/>
      <c r="L37" s="44" t="s">
        <v>101</v>
      </c>
      <c r="M37" s="49" t="s">
        <v>85</v>
      </c>
      <c r="N37" s="49" t="b">
        <v>1</v>
      </c>
      <c r="O37" s="49" t="s">
        <v>77</v>
      </c>
      <c r="P37" s="44" t="s">
        <v>135</v>
      </c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 ht="14.2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51"/>
      <c r="N38" s="51"/>
      <c r="O38" s="51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 ht="14.25" customHeight="1">
      <c r="A39" s="38" t="s">
        <v>136</v>
      </c>
      <c r="B39" s="39"/>
      <c r="C39" s="39"/>
      <c r="D39" s="52"/>
      <c r="E39" s="53"/>
      <c r="F39" s="52"/>
      <c r="G39" s="52"/>
      <c r="H39" s="52"/>
      <c r="I39" s="53"/>
      <c r="J39" s="53"/>
      <c r="K39" s="52"/>
      <c r="L39" s="52"/>
      <c r="M39" s="53"/>
      <c r="N39" s="53"/>
      <c r="O39" s="53"/>
      <c r="P39" s="52"/>
      <c r="Q39" s="52"/>
      <c r="R39" s="52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41"/>
      <c r="AN39" s="41"/>
      <c r="AO39" s="41"/>
    </row>
    <row r="40" ht="14.25" customHeight="1">
      <c r="A40" s="46" t="s">
        <v>137</v>
      </c>
      <c r="B40" s="43"/>
      <c r="C40" s="44" t="s">
        <v>138</v>
      </c>
      <c r="D40" s="45" t="s">
        <v>71</v>
      </c>
      <c r="E40" s="46"/>
      <c r="F40" s="43" t="str">
        <f>CONCATENATE(A40,"-target")</f>
        <v>sacs:Sac-target</v>
      </c>
      <c r="G40" s="44" t="s">
        <v>139</v>
      </c>
      <c r="H40" s="46" t="s">
        <v>136</v>
      </c>
      <c r="I40" s="43"/>
      <c r="J40" s="46" t="s">
        <v>140</v>
      </c>
      <c r="K40" s="43"/>
      <c r="L40" s="44" t="s">
        <v>121</v>
      </c>
      <c r="M40" s="49" t="s">
        <v>76</v>
      </c>
      <c r="N40" s="49" t="b">
        <v>1</v>
      </c>
      <c r="O40" s="49" t="s">
        <v>77</v>
      </c>
      <c r="P40" s="44" t="s">
        <v>141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 ht="14.2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51"/>
      <c r="N41" s="51"/>
      <c r="O41" s="51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 ht="14.25" customHeight="1">
      <c r="A42" s="38" t="s">
        <v>142</v>
      </c>
      <c r="B42" s="39"/>
      <c r="C42" s="39"/>
      <c r="D42" s="52"/>
      <c r="E42" s="53"/>
      <c r="F42" s="52"/>
      <c r="G42" s="52"/>
      <c r="H42" s="52"/>
      <c r="I42" s="53"/>
      <c r="J42" s="53"/>
      <c r="K42" s="52"/>
      <c r="L42" s="52"/>
      <c r="M42" s="53"/>
      <c r="N42" s="53"/>
      <c r="O42" s="53"/>
      <c r="P42" s="52"/>
      <c r="Q42" s="52"/>
      <c r="R42" s="52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41"/>
      <c r="AN42" s="41"/>
      <c r="AO42" s="41"/>
    </row>
    <row r="43" ht="14.25" customHeight="1">
      <c r="A43" s="42" t="s">
        <v>143</v>
      </c>
      <c r="B43" s="43"/>
      <c r="C43" s="44" t="s">
        <v>144</v>
      </c>
      <c r="D43" s="45" t="s">
        <v>71</v>
      </c>
      <c r="E43" s="46"/>
      <c r="F43" s="43" t="str">
        <f>CONCATENATE(A43,"-target")</f>
        <v>sacs:PersonneMorale-target</v>
      </c>
      <c r="G43" s="55" t="s">
        <v>145</v>
      </c>
      <c r="H43" s="46" t="s">
        <v>142</v>
      </c>
      <c r="I43" s="43"/>
      <c r="J43" s="46" t="s">
        <v>146</v>
      </c>
      <c r="K43" s="43"/>
      <c r="L43" s="44" t="s">
        <v>114</v>
      </c>
      <c r="M43" s="49" t="s">
        <v>85</v>
      </c>
      <c r="N43" s="49" t="b">
        <v>1</v>
      </c>
      <c r="O43" s="49" t="s">
        <v>77</v>
      </c>
      <c r="P43" s="44" t="s">
        <v>147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 ht="14.2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51"/>
      <c r="N44" s="51"/>
      <c r="O44" s="51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 ht="14.25" customHeight="1">
      <c r="A45" s="38" t="s">
        <v>148</v>
      </c>
      <c r="B45" s="39"/>
      <c r="C45" s="39"/>
      <c r="D45" s="52"/>
      <c r="E45" s="53"/>
      <c r="F45" s="52"/>
      <c r="G45" s="52"/>
      <c r="H45" s="52"/>
      <c r="I45" s="53"/>
      <c r="J45" s="53"/>
      <c r="K45" s="52"/>
      <c r="L45" s="52"/>
      <c r="M45" s="53"/>
      <c r="N45" s="53"/>
      <c r="O45" s="53"/>
      <c r="P45" s="52"/>
      <c r="Q45" s="52"/>
      <c r="R45" s="52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41"/>
      <c r="AN45" s="41"/>
      <c r="AO45" s="41"/>
    </row>
    <row r="46" ht="14.25" customHeight="1">
      <c r="A46" s="42" t="s">
        <v>149</v>
      </c>
      <c r="B46" s="43"/>
      <c r="C46" s="56" t="s">
        <v>150</v>
      </c>
      <c r="D46" s="45" t="s">
        <v>71</v>
      </c>
      <c r="E46" s="57" t="s">
        <v>151</v>
      </c>
      <c r="F46" s="43"/>
      <c r="G46" s="43"/>
      <c r="H46" s="57" t="s">
        <v>148</v>
      </c>
      <c r="I46" s="43"/>
      <c r="J46" s="57" t="s">
        <v>152</v>
      </c>
      <c r="K46" s="43"/>
      <c r="L46" s="44" t="s">
        <v>114</v>
      </c>
      <c r="M46" s="49" t="s">
        <v>85</v>
      </c>
      <c r="N46" s="49" t="b">
        <v>1</v>
      </c>
      <c r="O46" s="49" t="s">
        <v>77</v>
      </c>
      <c r="P46" s="44" t="s">
        <v>153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</row>
    <row r="47" ht="14.25" customHeight="1">
      <c r="D47" s="58"/>
      <c r="E47" s="58"/>
      <c r="F47" s="58"/>
      <c r="G47" s="58"/>
      <c r="H47" s="59"/>
      <c r="I47" s="58"/>
      <c r="J47" s="58"/>
      <c r="K47" s="58"/>
      <c r="L47" s="58"/>
      <c r="M47" s="60"/>
      <c r="N47" s="60"/>
      <c r="O47" s="60"/>
      <c r="P47" s="58"/>
      <c r="Q47" s="58"/>
      <c r="R47" s="58"/>
    </row>
    <row r="48" ht="14.25" customHeight="1">
      <c r="D48" s="58"/>
      <c r="E48" s="58"/>
      <c r="F48" s="58"/>
      <c r="G48" s="58"/>
      <c r="H48" s="59"/>
      <c r="I48" s="58"/>
      <c r="J48" s="58"/>
      <c r="K48" s="58"/>
      <c r="L48" s="58"/>
      <c r="M48" s="60"/>
      <c r="N48" s="60"/>
      <c r="O48" s="60"/>
      <c r="P48" s="58"/>
      <c r="Q48" s="58"/>
      <c r="R48" s="58"/>
    </row>
    <row r="49" ht="14.25" customHeight="1">
      <c r="A49" s="61" t="s">
        <v>154</v>
      </c>
      <c r="B49" s="62"/>
      <c r="C49" s="62"/>
      <c r="D49" s="63"/>
      <c r="E49" s="64"/>
      <c r="F49" s="63"/>
      <c r="G49" s="63"/>
      <c r="H49" s="63"/>
      <c r="I49" s="64"/>
      <c r="J49" s="64"/>
      <c r="K49" s="63"/>
      <c r="L49" s="63"/>
      <c r="M49" s="64"/>
      <c r="N49" s="64"/>
      <c r="O49" s="64"/>
      <c r="P49" s="63"/>
      <c r="Q49" s="63"/>
      <c r="R49" s="63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5"/>
      <c r="AN49" s="65"/>
      <c r="AO49" s="65"/>
    </row>
    <row r="50" ht="14.25" customHeight="1">
      <c r="A50" s="66" t="s">
        <v>155</v>
      </c>
      <c r="B50" s="67"/>
      <c r="C50" s="68" t="s">
        <v>97</v>
      </c>
      <c r="D50" s="69" t="s">
        <v>71</v>
      </c>
      <c r="E50" s="70"/>
      <c r="F50" s="71" t="str">
        <f>CONCATENATE(A50,"-target")</f>
        <v>sacs:Campagne-target</v>
      </c>
      <c r="G50" s="68" t="s">
        <v>156</v>
      </c>
      <c r="H50" s="72" t="s">
        <v>154</v>
      </c>
      <c r="I50" s="70"/>
      <c r="J50" s="73" t="s">
        <v>157</v>
      </c>
      <c r="K50" s="70"/>
      <c r="L50" s="68" t="s">
        <v>101</v>
      </c>
      <c r="M50" s="74" t="s">
        <v>158</v>
      </c>
      <c r="N50" s="75" t="b">
        <v>1</v>
      </c>
      <c r="O50" s="75" t="s">
        <v>77</v>
      </c>
      <c r="P50" s="68" t="s">
        <v>135</v>
      </c>
      <c r="Q50" s="70"/>
      <c r="R50" s="70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</row>
    <row r="51" ht="14.25" customHeight="1">
      <c r="A51" s="76"/>
      <c r="B51" s="76"/>
      <c r="C51" s="76"/>
      <c r="D51" s="77"/>
      <c r="E51" s="77"/>
      <c r="F51" s="77"/>
      <c r="G51" s="77"/>
      <c r="H51" s="78"/>
      <c r="I51" s="77"/>
      <c r="J51" s="77"/>
      <c r="K51" s="77"/>
      <c r="L51" s="77"/>
      <c r="M51" s="79"/>
      <c r="N51" s="79"/>
      <c r="O51" s="79"/>
      <c r="P51" s="77"/>
      <c r="Q51" s="77"/>
      <c r="R51" s="77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</row>
    <row r="52" ht="14.25" customHeight="1">
      <c r="A52" s="61" t="s">
        <v>159</v>
      </c>
      <c r="B52" s="62"/>
      <c r="C52" s="62"/>
      <c r="D52" s="63"/>
      <c r="E52" s="64"/>
      <c r="F52" s="63"/>
      <c r="G52" s="63"/>
      <c r="H52" s="63"/>
      <c r="I52" s="64"/>
      <c r="J52" s="64"/>
      <c r="K52" s="63"/>
      <c r="L52" s="63"/>
      <c r="M52" s="64"/>
      <c r="N52" s="64"/>
      <c r="O52" s="64"/>
      <c r="P52" s="63"/>
      <c r="Q52" s="63"/>
      <c r="R52" s="63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ht="14.25" customHeight="1">
      <c r="A53" s="66" t="s">
        <v>160</v>
      </c>
      <c r="B53" s="67"/>
      <c r="C53" s="68" t="s">
        <v>97</v>
      </c>
      <c r="D53" s="69" t="s">
        <v>71</v>
      </c>
      <c r="E53" s="73" t="s">
        <v>161</v>
      </c>
      <c r="F53" s="70"/>
      <c r="G53" s="70"/>
      <c r="H53" s="73" t="s">
        <v>159</v>
      </c>
      <c r="I53" s="70"/>
      <c r="J53" s="73" t="s">
        <v>159</v>
      </c>
      <c r="K53" s="70"/>
      <c r="L53" s="68" t="s">
        <v>162</v>
      </c>
      <c r="M53" s="74" t="s">
        <v>158</v>
      </c>
      <c r="N53" s="75" t="b">
        <v>1</v>
      </c>
      <c r="O53" s="75" t="s">
        <v>77</v>
      </c>
      <c r="P53" s="68" t="s">
        <v>135</v>
      </c>
      <c r="Q53" s="70"/>
      <c r="R53" s="70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</row>
    <row r="54" ht="14.25" customHeight="1">
      <c r="D54" s="58"/>
      <c r="E54" s="58"/>
      <c r="F54" s="58"/>
      <c r="G54" s="58"/>
      <c r="H54" s="59" t="s">
        <v>163</v>
      </c>
      <c r="I54" s="58"/>
      <c r="J54" s="58"/>
      <c r="K54" s="58"/>
      <c r="L54" s="58"/>
      <c r="M54" s="60"/>
      <c r="N54" s="60"/>
      <c r="O54" s="60"/>
      <c r="P54" s="58"/>
      <c r="Q54" s="58"/>
      <c r="R54" s="58"/>
    </row>
    <row r="55" ht="14.25" customHeight="1">
      <c r="A55" s="80" t="s">
        <v>164</v>
      </c>
      <c r="B55" s="39"/>
      <c r="C55" s="39"/>
      <c r="D55" s="39"/>
      <c r="E55" s="40"/>
      <c r="F55" s="39"/>
      <c r="G55" s="39"/>
      <c r="H55" s="39"/>
      <c r="I55" s="40"/>
      <c r="J55" s="40"/>
      <c r="K55" s="39"/>
      <c r="L55" s="39"/>
      <c r="M55" s="40"/>
      <c r="N55" s="40"/>
      <c r="O55" s="40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41"/>
      <c r="AN55" s="41"/>
      <c r="AO55" s="41"/>
    </row>
    <row r="56" ht="14.25" customHeight="1">
      <c r="A56" s="81" t="s">
        <v>165</v>
      </c>
      <c r="C56" s="50" t="s">
        <v>166</v>
      </c>
      <c r="D56" s="56" t="s">
        <v>71</v>
      </c>
      <c r="E56" s="56" t="s">
        <v>167</v>
      </c>
      <c r="H56" s="44" t="s">
        <v>168</v>
      </c>
      <c r="I56" s="82" t="s">
        <v>169</v>
      </c>
      <c r="J56" s="82" t="s">
        <v>170</v>
      </c>
      <c r="L56" s="83" t="s">
        <v>171</v>
      </c>
      <c r="M56" s="49"/>
      <c r="N56" s="49"/>
      <c r="O56" s="49"/>
      <c r="P56" s="50" t="s">
        <v>78</v>
      </c>
    </row>
    <row r="57" ht="14.25" customHeight="1">
      <c r="A57" s="81" t="s">
        <v>172</v>
      </c>
      <c r="C57" s="50" t="s">
        <v>166</v>
      </c>
      <c r="D57" s="56" t="s">
        <v>71</v>
      </c>
      <c r="E57" s="56" t="s">
        <v>173</v>
      </c>
      <c r="H57" s="44" t="s">
        <v>174</v>
      </c>
      <c r="I57" s="82" t="s">
        <v>169</v>
      </c>
      <c r="J57" s="82" t="s">
        <v>175</v>
      </c>
      <c r="L57" s="83" t="s">
        <v>176</v>
      </c>
      <c r="M57" s="49"/>
      <c r="N57" s="49"/>
      <c r="O57" s="49"/>
      <c r="P57" s="50" t="s">
        <v>78</v>
      </c>
    </row>
    <row r="58" ht="14.25" customHeight="1">
      <c r="A58" s="81" t="s">
        <v>177</v>
      </c>
      <c r="C58" s="50" t="s">
        <v>166</v>
      </c>
      <c r="D58" s="56" t="s">
        <v>71</v>
      </c>
      <c r="E58" s="56" t="s">
        <v>178</v>
      </c>
      <c r="H58" s="44" t="s">
        <v>179</v>
      </c>
      <c r="I58" s="82" t="s">
        <v>169</v>
      </c>
      <c r="J58" s="82" t="s">
        <v>180</v>
      </c>
      <c r="L58" s="83" t="s">
        <v>181</v>
      </c>
      <c r="M58" s="49"/>
      <c r="N58" s="49"/>
      <c r="O58" s="49"/>
      <c r="P58" s="50" t="s">
        <v>78</v>
      </c>
    </row>
    <row r="59" ht="14.25" customHeight="1">
      <c r="A59" s="81" t="s">
        <v>182</v>
      </c>
      <c r="C59" s="50" t="s">
        <v>166</v>
      </c>
      <c r="D59" s="56" t="s">
        <v>71</v>
      </c>
      <c r="E59" s="56" t="s">
        <v>183</v>
      </c>
      <c r="H59" s="44" t="s">
        <v>184</v>
      </c>
      <c r="I59" s="82" t="s">
        <v>169</v>
      </c>
      <c r="J59" s="82" t="s">
        <v>185</v>
      </c>
      <c r="L59" s="83" t="s">
        <v>186</v>
      </c>
      <c r="M59" s="49"/>
      <c r="N59" s="49"/>
      <c r="O59" s="49"/>
      <c r="P59" s="50" t="s">
        <v>78</v>
      </c>
    </row>
    <row r="60" ht="14.25" customHeight="1">
      <c r="A60" s="81" t="s">
        <v>187</v>
      </c>
      <c r="C60" s="50" t="s">
        <v>166</v>
      </c>
      <c r="D60" s="56" t="s">
        <v>71</v>
      </c>
      <c r="E60" s="56" t="s">
        <v>188</v>
      </c>
      <c r="H60" s="44" t="s">
        <v>189</v>
      </c>
      <c r="I60" s="82" t="s">
        <v>169</v>
      </c>
      <c r="J60" s="82" t="s">
        <v>190</v>
      </c>
      <c r="L60" s="83" t="s">
        <v>191</v>
      </c>
      <c r="M60" s="49"/>
      <c r="N60" s="49"/>
      <c r="O60" s="49"/>
      <c r="P60" s="50" t="s">
        <v>78</v>
      </c>
    </row>
    <row r="61" ht="14.25" customHeight="1">
      <c r="A61" s="81" t="s">
        <v>192</v>
      </c>
      <c r="C61" s="50" t="s">
        <v>166</v>
      </c>
      <c r="D61" s="56" t="s">
        <v>71</v>
      </c>
      <c r="E61" s="46" t="s">
        <v>193</v>
      </c>
      <c r="H61" s="44" t="s">
        <v>194</v>
      </c>
      <c r="I61" s="82" t="s">
        <v>169</v>
      </c>
      <c r="J61" s="82" t="s">
        <v>195</v>
      </c>
      <c r="L61" s="83" t="s">
        <v>196</v>
      </c>
      <c r="M61" s="49"/>
      <c r="N61" s="49"/>
      <c r="O61" s="49"/>
      <c r="P61" s="50" t="s">
        <v>78</v>
      </c>
    </row>
    <row r="62" ht="14.25" customHeight="1">
      <c r="A62" s="81" t="s">
        <v>197</v>
      </c>
      <c r="C62" s="50" t="s">
        <v>166</v>
      </c>
      <c r="D62" s="56" t="s">
        <v>71</v>
      </c>
      <c r="E62" s="46" t="s">
        <v>198</v>
      </c>
      <c r="H62" s="44" t="s">
        <v>199</v>
      </c>
      <c r="I62" s="82" t="s">
        <v>169</v>
      </c>
      <c r="J62" s="82" t="s">
        <v>200</v>
      </c>
      <c r="L62" s="83" t="s">
        <v>201</v>
      </c>
      <c r="M62" s="49"/>
      <c r="N62" s="49"/>
      <c r="O62" s="49"/>
      <c r="P62" s="50" t="s">
        <v>78</v>
      </c>
    </row>
    <row r="63" ht="14.25" customHeight="1">
      <c r="A63" s="81" t="s">
        <v>202</v>
      </c>
      <c r="C63" s="50" t="s">
        <v>166</v>
      </c>
      <c r="D63" s="56" t="s">
        <v>71</v>
      </c>
      <c r="E63" s="50" t="s">
        <v>203</v>
      </c>
      <c r="H63" s="50" t="s">
        <v>204</v>
      </c>
      <c r="I63" s="82" t="s">
        <v>169</v>
      </c>
      <c r="J63" s="82" t="s">
        <v>205</v>
      </c>
      <c r="L63" s="83" t="s">
        <v>206</v>
      </c>
      <c r="M63" s="49"/>
      <c r="N63" s="49"/>
      <c r="O63" s="49"/>
      <c r="P63" s="50" t="s">
        <v>78</v>
      </c>
    </row>
    <row r="64" ht="14.25" customHeight="1">
      <c r="A64" s="81" t="s">
        <v>207</v>
      </c>
      <c r="C64" s="50" t="s">
        <v>166</v>
      </c>
      <c r="D64" s="56" t="s">
        <v>71</v>
      </c>
      <c r="E64" s="50" t="s">
        <v>208</v>
      </c>
      <c r="H64" s="44" t="s">
        <v>209</v>
      </c>
      <c r="I64" s="82" t="s">
        <v>169</v>
      </c>
      <c r="J64" s="82" t="s">
        <v>210</v>
      </c>
      <c r="L64" s="83" t="s">
        <v>211</v>
      </c>
      <c r="M64" s="49"/>
      <c r="N64" s="49"/>
      <c r="O64" s="49"/>
      <c r="P64" s="50" t="s">
        <v>78</v>
      </c>
    </row>
    <row r="65" ht="14.25" customHeight="1">
      <c r="A65" s="81" t="s">
        <v>212</v>
      </c>
      <c r="C65" s="50" t="s">
        <v>166</v>
      </c>
      <c r="D65" s="56" t="s">
        <v>71</v>
      </c>
      <c r="E65" s="50" t="s">
        <v>213</v>
      </c>
      <c r="H65" s="44" t="s">
        <v>214</v>
      </c>
      <c r="I65" s="82" t="s">
        <v>169</v>
      </c>
      <c r="J65" s="82" t="s">
        <v>215</v>
      </c>
      <c r="L65" s="83" t="s">
        <v>216</v>
      </c>
      <c r="M65" s="49"/>
      <c r="N65" s="49"/>
      <c r="O65" s="49"/>
      <c r="P65" s="50" t="s">
        <v>78</v>
      </c>
    </row>
    <row r="66" ht="14.25" customHeight="1">
      <c r="M66" s="84"/>
      <c r="N66" s="84"/>
      <c r="O66" s="84"/>
    </row>
    <row r="67" ht="14.25" customHeight="1">
      <c r="A67" s="80" t="s">
        <v>217</v>
      </c>
      <c r="B67" s="39"/>
      <c r="C67" s="39"/>
      <c r="D67" s="39"/>
      <c r="E67" s="40"/>
      <c r="F67" s="39"/>
      <c r="G67" s="39"/>
      <c r="H67" s="39"/>
      <c r="I67" s="40"/>
      <c r="J67" s="40"/>
      <c r="K67" s="39"/>
      <c r="L67" s="39"/>
      <c r="M67" s="40"/>
      <c r="N67" s="40"/>
      <c r="O67" s="40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41"/>
      <c r="AN67" s="41"/>
      <c r="AO67" s="41"/>
    </row>
    <row r="68" ht="14.25" customHeight="1">
      <c r="A68" s="81"/>
      <c r="D68" s="56"/>
      <c r="M68" s="84"/>
      <c r="N68" s="84"/>
      <c r="O68" s="84"/>
    </row>
    <row r="69" ht="14.25" customHeight="1">
      <c r="M69" s="84"/>
      <c r="N69" s="84"/>
      <c r="O69" s="84"/>
    </row>
    <row r="70" ht="14.25" customHeight="1">
      <c r="M70" s="84"/>
      <c r="N70" s="84"/>
      <c r="O70" s="84"/>
    </row>
    <row r="71" ht="14.25" customHeight="1">
      <c r="M71" s="84"/>
      <c r="N71" s="84"/>
      <c r="O71" s="84"/>
    </row>
    <row r="72" ht="14.25" customHeight="1">
      <c r="M72" s="84"/>
      <c r="N72" s="84"/>
      <c r="O72" s="84"/>
    </row>
    <row r="73" ht="14.25" customHeight="1">
      <c r="M73" s="84"/>
      <c r="N73" s="84"/>
      <c r="O73" s="84"/>
    </row>
    <row r="74" ht="14.25" customHeight="1">
      <c r="M74" s="84"/>
      <c r="N74" s="84"/>
      <c r="O74" s="84"/>
    </row>
    <row r="75" ht="14.25" customHeight="1">
      <c r="M75" s="84"/>
      <c r="N75" s="84"/>
      <c r="O75" s="84"/>
    </row>
    <row r="76" ht="14.25" customHeight="1">
      <c r="M76" s="84"/>
      <c r="N76" s="84"/>
      <c r="O76" s="84"/>
    </row>
    <row r="77" ht="14.25" customHeight="1">
      <c r="M77" s="84"/>
      <c r="N77" s="84"/>
      <c r="O77" s="84"/>
    </row>
    <row r="78" ht="14.25" customHeight="1">
      <c r="M78" s="84"/>
      <c r="N78" s="84"/>
      <c r="O78" s="84"/>
    </row>
    <row r="79" ht="14.25" customHeight="1">
      <c r="M79" s="84"/>
      <c r="N79" s="84"/>
      <c r="O79" s="84"/>
    </row>
    <row r="80" ht="14.25" customHeight="1">
      <c r="M80" s="84"/>
      <c r="N80" s="84"/>
      <c r="O80" s="84"/>
    </row>
    <row r="81" ht="14.25" customHeight="1">
      <c r="M81" s="84"/>
      <c r="N81" s="84"/>
      <c r="O81" s="84"/>
    </row>
    <row r="82" ht="14.25" customHeight="1">
      <c r="M82" s="84"/>
      <c r="N82" s="84"/>
      <c r="O82" s="84"/>
    </row>
    <row r="83" ht="14.25" customHeight="1">
      <c r="M83" s="84"/>
      <c r="N83" s="84"/>
      <c r="O83" s="84"/>
    </row>
    <row r="84" ht="14.25" customHeight="1">
      <c r="M84" s="84"/>
      <c r="N84" s="84"/>
      <c r="O84" s="84"/>
    </row>
    <row r="85" ht="14.25" customHeight="1">
      <c r="M85" s="84"/>
      <c r="N85" s="84"/>
      <c r="O85" s="84"/>
    </row>
    <row r="86" ht="14.25" customHeight="1">
      <c r="M86" s="84"/>
      <c r="N86" s="84"/>
      <c r="O86" s="84"/>
    </row>
    <row r="87" ht="14.25" customHeight="1">
      <c r="M87" s="84"/>
      <c r="N87" s="84"/>
      <c r="O87" s="84"/>
    </row>
    <row r="88" ht="14.25" customHeight="1">
      <c r="M88" s="84"/>
      <c r="N88" s="84"/>
      <c r="O88" s="84"/>
    </row>
    <row r="89" ht="14.25" customHeight="1">
      <c r="M89" s="84"/>
      <c r="N89" s="84"/>
      <c r="O89" s="84"/>
    </row>
    <row r="90" ht="14.25" customHeight="1">
      <c r="M90" s="84"/>
      <c r="N90" s="84"/>
      <c r="O90" s="84"/>
    </row>
    <row r="91" ht="14.25" customHeight="1">
      <c r="M91" s="84"/>
      <c r="N91" s="84"/>
      <c r="O91" s="84"/>
    </row>
    <row r="92" ht="14.25" customHeight="1">
      <c r="M92" s="84"/>
      <c r="N92" s="84"/>
      <c r="O92" s="84"/>
    </row>
    <row r="93" ht="14.25" customHeight="1">
      <c r="M93" s="84"/>
      <c r="N93" s="84"/>
      <c r="O93" s="84"/>
    </row>
    <row r="94" ht="14.25" customHeight="1">
      <c r="M94" s="84"/>
      <c r="N94" s="84"/>
      <c r="O94" s="84"/>
    </row>
    <row r="95" ht="14.25" customHeight="1">
      <c r="M95" s="84"/>
      <c r="N95" s="84"/>
      <c r="O95" s="84"/>
    </row>
    <row r="96" ht="14.25" customHeight="1">
      <c r="M96" s="84"/>
      <c r="N96" s="84"/>
      <c r="O96" s="84"/>
    </row>
    <row r="97" ht="14.25" customHeight="1">
      <c r="M97" s="84"/>
      <c r="N97" s="84"/>
      <c r="O97" s="84"/>
    </row>
    <row r="98" ht="14.25" customHeight="1">
      <c r="M98" s="84"/>
      <c r="N98" s="84"/>
      <c r="O98" s="84"/>
    </row>
    <row r="99" ht="14.25" customHeight="1">
      <c r="M99" s="84"/>
      <c r="N99" s="84"/>
      <c r="O99" s="84"/>
    </row>
    <row r="100" ht="14.25" customHeight="1">
      <c r="M100" s="84"/>
      <c r="N100" s="84"/>
      <c r="O100" s="84"/>
    </row>
    <row r="101" ht="14.25" customHeight="1">
      <c r="M101" s="84"/>
      <c r="N101" s="84"/>
      <c r="O101" s="84"/>
    </row>
    <row r="102" ht="14.25" customHeight="1">
      <c r="M102" s="84"/>
      <c r="N102" s="84"/>
      <c r="O102" s="84"/>
    </row>
    <row r="103" ht="14.25" customHeight="1">
      <c r="M103" s="84"/>
      <c r="N103" s="84"/>
      <c r="O103" s="84"/>
    </row>
    <row r="104" ht="14.25" customHeight="1">
      <c r="M104" s="84"/>
      <c r="N104" s="84"/>
      <c r="O104" s="84"/>
    </row>
    <row r="105" ht="14.25" customHeight="1">
      <c r="M105" s="84"/>
      <c r="N105" s="84"/>
      <c r="O105" s="84"/>
    </row>
    <row r="106" ht="14.25" customHeight="1">
      <c r="M106" s="84"/>
      <c r="N106" s="84"/>
      <c r="O106" s="84"/>
    </row>
    <row r="107" ht="14.25" customHeight="1">
      <c r="M107" s="84"/>
      <c r="N107" s="84"/>
      <c r="O107" s="84"/>
    </row>
    <row r="108" ht="14.25" customHeight="1">
      <c r="M108" s="84"/>
      <c r="N108" s="84"/>
      <c r="O108" s="84"/>
    </row>
    <row r="109" ht="14.25" customHeight="1">
      <c r="M109" s="84"/>
      <c r="N109" s="84"/>
      <c r="O109" s="84"/>
    </row>
    <row r="110" ht="14.25" customHeight="1">
      <c r="M110" s="84"/>
      <c r="N110" s="84"/>
      <c r="O110" s="84"/>
    </row>
    <row r="111" ht="14.25" customHeight="1">
      <c r="M111" s="84"/>
      <c r="N111" s="84"/>
      <c r="O111" s="84"/>
    </row>
    <row r="112" ht="14.25" customHeight="1">
      <c r="M112" s="84"/>
      <c r="N112" s="84"/>
      <c r="O112" s="84"/>
    </row>
    <row r="113" ht="14.25" customHeight="1">
      <c r="M113" s="84"/>
      <c r="N113" s="84"/>
      <c r="O113" s="84"/>
    </row>
    <row r="114" ht="14.25" customHeight="1">
      <c r="M114" s="84"/>
      <c r="N114" s="84"/>
      <c r="O114" s="84"/>
    </row>
    <row r="115" ht="14.25" customHeight="1">
      <c r="M115" s="84"/>
      <c r="N115" s="84"/>
      <c r="O115" s="84"/>
    </row>
    <row r="116" ht="14.25" customHeight="1">
      <c r="M116" s="84"/>
      <c r="N116" s="84"/>
      <c r="O116" s="84"/>
    </row>
    <row r="117" ht="14.25" customHeight="1">
      <c r="M117" s="84"/>
      <c r="N117" s="84"/>
      <c r="O117" s="84"/>
    </row>
    <row r="118" ht="14.25" customHeight="1">
      <c r="M118" s="84"/>
      <c r="N118" s="84"/>
      <c r="O118" s="84"/>
    </row>
    <row r="119" ht="14.25" customHeight="1">
      <c r="M119" s="84"/>
      <c r="N119" s="84"/>
      <c r="O119" s="84"/>
    </row>
    <row r="120" ht="14.25" customHeight="1">
      <c r="M120" s="84"/>
      <c r="N120" s="84"/>
      <c r="O120" s="84"/>
    </row>
    <row r="121" ht="14.25" customHeight="1">
      <c r="M121" s="84"/>
      <c r="N121" s="84"/>
      <c r="O121" s="84"/>
    </row>
    <row r="122" ht="14.25" customHeight="1">
      <c r="M122" s="84"/>
      <c r="N122" s="84"/>
      <c r="O122" s="84"/>
    </row>
    <row r="123" ht="14.25" customHeight="1">
      <c r="M123" s="84"/>
      <c r="N123" s="84"/>
      <c r="O123" s="84"/>
    </row>
    <row r="124" ht="14.25" customHeight="1">
      <c r="M124" s="84"/>
      <c r="N124" s="84"/>
      <c r="O124" s="84"/>
    </row>
    <row r="125" ht="14.25" customHeight="1">
      <c r="M125" s="84"/>
      <c r="N125" s="84"/>
      <c r="O125" s="84"/>
    </row>
    <row r="126" ht="14.25" customHeight="1">
      <c r="M126" s="84"/>
      <c r="N126" s="84"/>
      <c r="O126" s="84"/>
    </row>
    <row r="127" ht="14.25" customHeight="1">
      <c r="M127" s="84"/>
      <c r="N127" s="84"/>
      <c r="O127" s="84"/>
    </row>
    <row r="128" ht="14.25" customHeight="1">
      <c r="M128" s="84"/>
      <c r="N128" s="84"/>
      <c r="O128" s="84"/>
    </row>
    <row r="129" ht="14.25" customHeight="1">
      <c r="M129" s="84"/>
      <c r="N129" s="84"/>
      <c r="O129" s="84"/>
    </row>
    <row r="130" ht="14.25" customHeight="1">
      <c r="M130" s="84"/>
      <c r="N130" s="84"/>
      <c r="O130" s="84"/>
    </row>
    <row r="131" ht="14.25" customHeight="1">
      <c r="M131" s="84"/>
      <c r="N131" s="84"/>
      <c r="O131" s="84"/>
    </row>
    <row r="132" ht="14.25" customHeight="1">
      <c r="M132" s="84"/>
      <c r="N132" s="84"/>
      <c r="O132" s="84"/>
    </row>
    <row r="133" ht="14.25" customHeight="1">
      <c r="M133" s="84"/>
      <c r="N133" s="84"/>
      <c r="O133" s="84"/>
    </row>
    <row r="134" ht="14.25" customHeight="1">
      <c r="M134" s="84"/>
      <c r="N134" s="84"/>
      <c r="O134" s="84"/>
    </row>
    <row r="135" ht="14.25" customHeight="1">
      <c r="M135" s="84"/>
      <c r="N135" s="84"/>
      <c r="O135" s="84"/>
    </row>
    <row r="136" ht="14.25" customHeight="1">
      <c r="M136" s="84"/>
      <c r="N136" s="84"/>
      <c r="O136" s="84"/>
    </row>
    <row r="137" ht="14.25" customHeight="1">
      <c r="M137" s="84"/>
      <c r="N137" s="84"/>
      <c r="O137" s="84"/>
    </row>
    <row r="138" ht="14.25" customHeight="1">
      <c r="M138" s="84"/>
      <c r="N138" s="84"/>
      <c r="O138" s="84"/>
    </row>
    <row r="139" ht="14.25" customHeight="1">
      <c r="M139" s="84"/>
      <c r="N139" s="84"/>
      <c r="O139" s="84"/>
    </row>
    <row r="140" ht="14.25" customHeight="1">
      <c r="M140" s="84"/>
      <c r="N140" s="84"/>
      <c r="O140" s="84"/>
    </row>
    <row r="141" ht="14.25" customHeight="1">
      <c r="M141" s="84"/>
      <c r="N141" s="84"/>
      <c r="O141" s="84"/>
    </row>
    <row r="142" ht="14.25" customHeight="1">
      <c r="M142" s="84"/>
      <c r="N142" s="84"/>
      <c r="O142" s="84"/>
    </row>
    <row r="143" ht="14.25" customHeight="1">
      <c r="M143" s="84"/>
      <c r="N143" s="84"/>
      <c r="O143" s="84"/>
    </row>
    <row r="144" ht="14.25" customHeight="1">
      <c r="M144" s="84"/>
      <c r="N144" s="84"/>
      <c r="O144" s="84"/>
    </row>
    <row r="145" ht="14.25" customHeight="1">
      <c r="M145" s="84"/>
      <c r="N145" s="84"/>
      <c r="O145" s="84"/>
    </row>
    <row r="146" ht="14.25" customHeight="1">
      <c r="M146" s="84"/>
      <c r="N146" s="84"/>
      <c r="O146" s="84"/>
    </row>
    <row r="147" ht="14.25" customHeight="1">
      <c r="M147" s="84"/>
      <c r="N147" s="84"/>
      <c r="O147" s="84"/>
    </row>
    <row r="148" ht="14.25" customHeight="1">
      <c r="M148" s="84"/>
      <c r="N148" s="84"/>
      <c r="O148" s="84"/>
    </row>
    <row r="149" ht="14.25" customHeight="1">
      <c r="M149" s="84"/>
      <c r="N149" s="84"/>
      <c r="O149" s="84"/>
    </row>
    <row r="150" ht="14.25" customHeight="1">
      <c r="M150" s="84"/>
      <c r="N150" s="84"/>
      <c r="O150" s="84"/>
    </row>
    <row r="151" ht="14.25" customHeight="1">
      <c r="M151" s="84"/>
      <c r="N151" s="84"/>
      <c r="O151" s="84"/>
    </row>
    <row r="152" ht="14.25" customHeight="1">
      <c r="M152" s="84"/>
      <c r="N152" s="84"/>
      <c r="O152" s="84"/>
    </row>
    <row r="153" ht="14.25" customHeight="1">
      <c r="M153" s="84"/>
      <c r="N153" s="84"/>
      <c r="O153" s="84"/>
    </row>
    <row r="154" ht="14.25" customHeight="1">
      <c r="M154" s="84"/>
      <c r="N154" s="84"/>
      <c r="O154" s="84"/>
    </row>
    <row r="155" ht="14.25" customHeight="1">
      <c r="M155" s="84"/>
      <c r="N155" s="84"/>
      <c r="O155" s="84"/>
    </row>
    <row r="156" ht="14.25" customHeight="1">
      <c r="M156" s="84"/>
      <c r="N156" s="84"/>
      <c r="O156" s="84"/>
    </row>
    <row r="157" ht="14.25" customHeight="1">
      <c r="M157" s="84"/>
      <c r="N157" s="84"/>
      <c r="O157" s="84"/>
    </row>
    <row r="158" ht="14.25" customHeight="1">
      <c r="M158" s="84"/>
      <c r="N158" s="84"/>
      <c r="O158" s="84"/>
    </row>
    <row r="159" ht="14.25" customHeight="1">
      <c r="M159" s="84"/>
      <c r="N159" s="84"/>
      <c r="O159" s="84"/>
    </row>
    <row r="160" ht="14.25" customHeight="1">
      <c r="M160" s="84"/>
      <c r="N160" s="84"/>
      <c r="O160" s="84"/>
    </row>
    <row r="161" ht="14.25" customHeight="1">
      <c r="M161" s="84"/>
      <c r="N161" s="84"/>
      <c r="O161" s="84"/>
    </row>
    <row r="162" ht="14.25" customHeight="1">
      <c r="M162" s="84"/>
      <c r="N162" s="84"/>
      <c r="O162" s="84"/>
    </row>
    <row r="163" ht="14.25" customHeight="1">
      <c r="M163" s="84"/>
      <c r="N163" s="84"/>
      <c r="O163" s="84"/>
    </row>
    <row r="164" ht="14.25" customHeight="1">
      <c r="M164" s="84"/>
      <c r="N164" s="84"/>
      <c r="O164" s="84"/>
    </row>
    <row r="165" ht="14.25" customHeight="1">
      <c r="M165" s="84"/>
      <c r="N165" s="84"/>
      <c r="O165" s="84"/>
    </row>
    <row r="166" ht="14.25" customHeight="1">
      <c r="M166" s="84"/>
      <c r="N166" s="84"/>
      <c r="O166" s="84"/>
    </row>
    <row r="167" ht="14.25" customHeight="1">
      <c r="M167" s="84"/>
      <c r="N167" s="84"/>
      <c r="O167" s="84"/>
    </row>
    <row r="168" ht="14.25" customHeight="1">
      <c r="M168" s="84"/>
      <c r="N168" s="84"/>
      <c r="O168" s="84"/>
    </row>
    <row r="169" ht="14.25" customHeight="1">
      <c r="M169" s="84"/>
      <c r="N169" s="84"/>
      <c r="O169" s="84"/>
    </row>
    <row r="170" ht="14.25" customHeight="1">
      <c r="M170" s="84"/>
      <c r="N170" s="84"/>
      <c r="O170" s="84"/>
    </row>
    <row r="171" ht="14.25" customHeight="1">
      <c r="M171" s="84"/>
      <c r="N171" s="84"/>
      <c r="O171" s="84"/>
    </row>
    <row r="172" ht="14.25" customHeight="1">
      <c r="M172" s="84"/>
      <c r="N172" s="84"/>
      <c r="O172" s="84"/>
    </row>
    <row r="173" ht="14.25" customHeight="1">
      <c r="M173" s="84"/>
      <c r="N173" s="84"/>
      <c r="O173" s="84"/>
    </row>
    <row r="174" ht="14.25" customHeight="1">
      <c r="M174" s="84"/>
      <c r="N174" s="84"/>
      <c r="O174" s="84"/>
    </row>
    <row r="175" ht="14.25" customHeight="1">
      <c r="M175" s="84"/>
      <c r="N175" s="84"/>
      <c r="O175" s="84"/>
    </row>
    <row r="176" ht="14.25" customHeight="1">
      <c r="M176" s="84"/>
      <c r="N176" s="84"/>
      <c r="O176" s="84"/>
    </row>
    <row r="177" ht="14.25" customHeight="1">
      <c r="M177" s="84"/>
      <c r="N177" s="84"/>
      <c r="O177" s="84"/>
    </row>
    <row r="178" ht="14.25" customHeight="1">
      <c r="M178" s="84"/>
      <c r="N178" s="84"/>
      <c r="O178" s="84"/>
    </row>
    <row r="179" ht="14.25" customHeight="1">
      <c r="M179" s="84"/>
      <c r="N179" s="84"/>
      <c r="O179" s="84"/>
    </row>
    <row r="180" ht="14.25" customHeight="1">
      <c r="M180" s="84"/>
      <c r="N180" s="84"/>
      <c r="O180" s="84"/>
    </row>
    <row r="181" ht="14.25" customHeight="1">
      <c r="M181" s="84"/>
      <c r="N181" s="84"/>
      <c r="O181" s="84"/>
    </row>
    <row r="182" ht="14.25" customHeight="1">
      <c r="M182" s="84"/>
      <c r="N182" s="84"/>
      <c r="O182" s="84"/>
    </row>
    <row r="183" ht="14.25" customHeight="1">
      <c r="M183" s="84"/>
      <c r="N183" s="84"/>
      <c r="O183" s="84"/>
    </row>
    <row r="184" ht="14.25" customHeight="1">
      <c r="M184" s="84"/>
      <c r="N184" s="84"/>
      <c r="O184" s="84"/>
    </row>
    <row r="185" ht="14.25" customHeight="1">
      <c r="M185" s="84"/>
      <c r="N185" s="84"/>
      <c r="O185" s="84"/>
    </row>
    <row r="186" ht="14.25" customHeight="1">
      <c r="M186" s="84"/>
      <c r="N186" s="84"/>
      <c r="O186" s="84"/>
    </row>
    <row r="187" ht="14.25" customHeight="1">
      <c r="M187" s="84"/>
      <c r="N187" s="84"/>
      <c r="O187" s="84"/>
    </row>
    <row r="188" ht="14.25" customHeight="1">
      <c r="M188" s="84"/>
      <c r="N188" s="84"/>
      <c r="O188" s="84"/>
    </row>
    <row r="189" ht="14.25" customHeight="1">
      <c r="M189" s="84"/>
      <c r="N189" s="84"/>
      <c r="O189" s="84"/>
    </row>
    <row r="190" ht="14.25" customHeight="1">
      <c r="M190" s="84"/>
      <c r="N190" s="84"/>
      <c r="O190" s="84"/>
    </row>
    <row r="191" ht="14.25" customHeight="1">
      <c r="M191" s="84"/>
      <c r="N191" s="84"/>
      <c r="O191" s="84"/>
    </row>
    <row r="192" ht="14.25" customHeight="1">
      <c r="M192" s="84"/>
      <c r="N192" s="84"/>
      <c r="O192" s="84"/>
    </row>
    <row r="193" ht="14.25" customHeight="1">
      <c r="M193" s="84"/>
      <c r="N193" s="84"/>
      <c r="O193" s="84"/>
    </row>
    <row r="194" ht="14.25" customHeight="1">
      <c r="M194" s="84"/>
      <c r="N194" s="84"/>
      <c r="O194" s="84"/>
    </row>
    <row r="195" ht="14.25" customHeight="1">
      <c r="M195" s="84"/>
      <c r="N195" s="84"/>
      <c r="O195" s="84"/>
    </row>
    <row r="196" ht="14.25" customHeight="1">
      <c r="M196" s="84"/>
      <c r="N196" s="84"/>
      <c r="O196" s="84"/>
    </row>
    <row r="197" ht="14.25" customHeight="1">
      <c r="M197" s="84"/>
      <c r="N197" s="84"/>
      <c r="O197" s="84"/>
    </row>
    <row r="198" ht="14.25" customHeight="1">
      <c r="M198" s="84"/>
      <c r="N198" s="84"/>
      <c r="O198" s="84"/>
    </row>
    <row r="199" ht="14.25" customHeight="1">
      <c r="M199" s="84"/>
      <c r="N199" s="84"/>
      <c r="O199" s="84"/>
    </row>
    <row r="200" ht="14.25" customHeight="1">
      <c r="M200" s="84"/>
      <c r="N200" s="84"/>
      <c r="O200" s="84"/>
    </row>
    <row r="201" ht="14.25" customHeight="1">
      <c r="M201" s="84"/>
      <c r="N201" s="84"/>
      <c r="O201" s="84"/>
    </row>
    <row r="202" ht="14.25" customHeight="1">
      <c r="M202" s="84"/>
      <c r="N202" s="84"/>
      <c r="O202" s="84"/>
    </row>
    <row r="203" ht="14.25" customHeight="1">
      <c r="M203" s="84"/>
      <c r="N203" s="84"/>
      <c r="O203" s="84"/>
    </row>
    <row r="204" ht="14.25" customHeight="1">
      <c r="M204" s="84"/>
      <c r="N204" s="84"/>
      <c r="O204" s="84"/>
    </row>
    <row r="205" ht="14.25" customHeight="1">
      <c r="M205" s="84"/>
      <c r="N205" s="84"/>
      <c r="O205" s="84"/>
    </row>
    <row r="206" ht="14.25" customHeight="1">
      <c r="M206" s="84"/>
      <c r="N206" s="84"/>
      <c r="O206" s="84"/>
    </row>
    <row r="207" ht="14.25" customHeight="1">
      <c r="M207" s="84"/>
      <c r="N207" s="84"/>
      <c r="O207" s="84"/>
    </row>
    <row r="208" ht="14.25" customHeight="1">
      <c r="M208" s="84"/>
      <c r="N208" s="84"/>
      <c r="O208" s="84"/>
    </row>
    <row r="209" ht="14.25" customHeight="1">
      <c r="M209" s="84"/>
      <c r="N209" s="84"/>
      <c r="O209" s="84"/>
    </row>
    <row r="210" ht="14.25" customHeight="1">
      <c r="M210" s="84"/>
      <c r="N210" s="84"/>
      <c r="O210" s="84"/>
    </row>
    <row r="211" ht="14.25" customHeight="1">
      <c r="M211" s="84"/>
      <c r="N211" s="84"/>
      <c r="O211" s="84"/>
    </row>
    <row r="212" ht="14.25" customHeight="1">
      <c r="M212" s="84"/>
      <c r="N212" s="84"/>
      <c r="O212" s="84"/>
    </row>
    <row r="213" ht="14.25" customHeight="1">
      <c r="M213" s="84"/>
      <c r="N213" s="84"/>
      <c r="O213" s="84"/>
    </row>
    <row r="214" ht="14.25" customHeight="1">
      <c r="M214" s="84"/>
      <c r="N214" s="84"/>
      <c r="O214" s="84"/>
    </row>
    <row r="215" ht="14.25" customHeight="1">
      <c r="M215" s="84"/>
      <c r="N215" s="84"/>
      <c r="O215" s="84"/>
    </row>
    <row r="216" ht="14.25" customHeight="1">
      <c r="M216" s="84"/>
      <c r="N216" s="84"/>
      <c r="O216" s="84"/>
    </row>
    <row r="217" ht="14.25" customHeight="1">
      <c r="M217" s="84"/>
      <c r="N217" s="84"/>
      <c r="O217" s="84"/>
    </row>
    <row r="218" ht="14.25" customHeight="1">
      <c r="M218" s="84"/>
      <c r="N218" s="84"/>
      <c r="O218" s="84"/>
    </row>
    <row r="219" ht="14.25" customHeight="1">
      <c r="M219" s="84"/>
      <c r="N219" s="84"/>
      <c r="O219" s="84"/>
    </row>
    <row r="220" ht="14.25" customHeight="1">
      <c r="M220" s="84"/>
      <c r="N220" s="84"/>
      <c r="O220" s="84"/>
    </row>
    <row r="221" ht="14.25" customHeight="1">
      <c r="M221" s="84"/>
      <c r="N221" s="84"/>
      <c r="O221" s="84"/>
    </row>
    <row r="222" ht="14.25" customHeight="1">
      <c r="M222" s="84"/>
      <c r="N222" s="84"/>
      <c r="O222" s="84"/>
    </row>
    <row r="223" ht="14.25" customHeight="1">
      <c r="M223" s="84"/>
      <c r="N223" s="84"/>
      <c r="O223" s="84"/>
    </row>
    <row r="224" ht="14.25" customHeight="1">
      <c r="M224" s="84"/>
      <c r="N224" s="84"/>
      <c r="O224" s="84"/>
    </row>
    <row r="225" ht="14.25" customHeight="1">
      <c r="M225" s="84"/>
      <c r="N225" s="84"/>
      <c r="O225" s="84"/>
    </row>
    <row r="226" ht="14.25" customHeight="1">
      <c r="M226" s="84"/>
      <c r="N226" s="84"/>
      <c r="O226" s="84"/>
    </row>
    <row r="227" ht="14.25" customHeight="1">
      <c r="M227" s="84"/>
      <c r="N227" s="84"/>
      <c r="O227" s="84"/>
    </row>
    <row r="228" ht="14.25" customHeight="1">
      <c r="M228" s="84"/>
      <c r="N228" s="84"/>
      <c r="O228" s="84"/>
    </row>
    <row r="229" ht="14.25" customHeight="1">
      <c r="M229" s="84"/>
      <c r="N229" s="84"/>
      <c r="O229" s="84"/>
    </row>
    <row r="230" ht="14.25" customHeight="1">
      <c r="M230" s="84"/>
      <c r="N230" s="84"/>
      <c r="O230" s="84"/>
    </row>
    <row r="231" ht="14.25" customHeight="1">
      <c r="M231" s="84"/>
      <c r="N231" s="84"/>
      <c r="O231" s="84"/>
    </row>
    <row r="232" ht="14.25" customHeight="1">
      <c r="M232" s="84"/>
      <c r="N232" s="84"/>
      <c r="O232" s="84"/>
    </row>
    <row r="233" ht="14.25" customHeight="1">
      <c r="M233" s="84"/>
      <c r="N233" s="84"/>
      <c r="O233" s="84"/>
    </row>
    <row r="234" ht="14.25" customHeight="1">
      <c r="M234" s="84"/>
      <c r="N234" s="84"/>
      <c r="O234" s="84"/>
    </row>
    <row r="235" ht="14.25" customHeight="1">
      <c r="M235" s="84"/>
      <c r="N235" s="84"/>
      <c r="O235" s="84"/>
    </row>
    <row r="236" ht="14.25" customHeight="1">
      <c r="M236" s="84"/>
      <c r="N236" s="84"/>
      <c r="O236" s="84"/>
    </row>
    <row r="237" ht="14.25" customHeight="1">
      <c r="M237" s="84"/>
      <c r="N237" s="84"/>
      <c r="O237" s="84"/>
    </row>
    <row r="238" ht="14.25" customHeight="1">
      <c r="M238" s="84"/>
      <c r="N238" s="84"/>
      <c r="O238" s="84"/>
    </row>
    <row r="239" ht="14.25" customHeight="1">
      <c r="M239" s="84"/>
      <c r="N239" s="84"/>
      <c r="O239" s="84"/>
    </row>
    <row r="240" ht="14.25" customHeight="1">
      <c r="M240" s="84"/>
      <c r="N240" s="84"/>
      <c r="O240" s="84"/>
    </row>
    <row r="241" ht="14.25" customHeight="1">
      <c r="M241" s="84"/>
      <c r="N241" s="84"/>
      <c r="O241" s="84"/>
    </row>
    <row r="242" ht="14.25" customHeight="1">
      <c r="M242" s="84"/>
      <c r="N242" s="84"/>
      <c r="O242" s="84"/>
    </row>
    <row r="243" ht="14.25" customHeight="1">
      <c r="M243" s="84"/>
      <c r="N243" s="84"/>
      <c r="O243" s="84"/>
    </row>
    <row r="244" ht="14.25" customHeight="1">
      <c r="M244" s="84"/>
      <c r="N244" s="84"/>
      <c r="O244" s="84"/>
    </row>
    <row r="245" ht="14.25" customHeight="1">
      <c r="M245" s="84"/>
      <c r="N245" s="84"/>
      <c r="O245" s="84"/>
    </row>
    <row r="246" ht="14.25" customHeight="1">
      <c r="M246" s="84"/>
      <c r="N246" s="84"/>
      <c r="O246" s="84"/>
    </row>
    <row r="247" ht="14.25" customHeight="1">
      <c r="M247" s="84"/>
      <c r="N247" s="84"/>
      <c r="O247" s="84"/>
    </row>
    <row r="248" ht="14.25" customHeight="1">
      <c r="M248" s="84"/>
      <c r="N248" s="84"/>
      <c r="O248" s="84"/>
    </row>
    <row r="249" ht="14.25" customHeight="1">
      <c r="M249" s="84"/>
      <c r="N249" s="84"/>
      <c r="O249" s="84"/>
    </row>
    <row r="250" ht="14.25" customHeight="1">
      <c r="M250" s="84"/>
      <c r="N250" s="84"/>
      <c r="O250" s="84"/>
    </row>
    <row r="251" ht="14.25" customHeight="1">
      <c r="M251" s="84"/>
      <c r="N251" s="84"/>
      <c r="O251" s="84"/>
    </row>
    <row r="252" ht="14.25" customHeight="1">
      <c r="M252" s="84"/>
      <c r="N252" s="84"/>
      <c r="O252" s="84"/>
    </row>
    <row r="253" ht="14.25" customHeight="1">
      <c r="M253" s="84"/>
      <c r="N253" s="84"/>
      <c r="O253" s="84"/>
    </row>
    <row r="254" ht="14.25" customHeight="1">
      <c r="M254" s="84"/>
      <c r="N254" s="84"/>
      <c r="O254" s="84"/>
    </row>
    <row r="255" ht="14.25" customHeight="1">
      <c r="M255" s="84"/>
      <c r="N255" s="84"/>
      <c r="O255" s="84"/>
    </row>
    <row r="256" ht="14.25" customHeight="1">
      <c r="M256" s="84"/>
      <c r="N256" s="84"/>
      <c r="O256" s="84"/>
    </row>
    <row r="257" ht="14.25" customHeight="1">
      <c r="M257" s="84"/>
      <c r="N257" s="84"/>
      <c r="O257" s="84"/>
    </row>
    <row r="258" ht="14.25" customHeight="1">
      <c r="M258" s="84"/>
      <c r="N258" s="84"/>
      <c r="O258" s="84"/>
    </row>
    <row r="259" ht="14.25" customHeight="1">
      <c r="M259" s="84"/>
      <c r="N259" s="84"/>
      <c r="O259" s="84"/>
    </row>
    <row r="260" ht="14.25" customHeight="1">
      <c r="M260" s="84"/>
      <c r="N260" s="84"/>
      <c r="O260" s="84"/>
    </row>
    <row r="261" ht="14.25" customHeight="1">
      <c r="M261" s="84"/>
      <c r="N261" s="84"/>
      <c r="O261" s="84"/>
    </row>
    <row r="262" ht="14.25" customHeight="1">
      <c r="M262" s="84"/>
      <c r="N262" s="84"/>
      <c r="O262" s="84"/>
    </row>
    <row r="263" ht="14.25" customHeight="1">
      <c r="M263" s="84"/>
      <c r="N263" s="84"/>
      <c r="O263" s="84"/>
    </row>
    <row r="264" ht="14.25" customHeight="1">
      <c r="M264" s="84"/>
      <c r="N264" s="84"/>
      <c r="O264" s="84"/>
    </row>
    <row r="265" ht="14.25" customHeight="1">
      <c r="M265" s="84"/>
      <c r="N265" s="84"/>
      <c r="O265" s="84"/>
    </row>
    <row r="266" ht="14.25" customHeight="1">
      <c r="M266" s="84"/>
      <c r="N266" s="84"/>
      <c r="O266" s="84"/>
    </row>
    <row r="267" ht="14.25" customHeight="1">
      <c r="M267" s="84"/>
      <c r="N267" s="84"/>
      <c r="O267" s="84"/>
    </row>
    <row r="268" ht="14.25" customHeight="1">
      <c r="M268" s="84"/>
      <c r="N268" s="84"/>
      <c r="O268" s="84"/>
    </row>
    <row r="269" ht="14.25" customHeight="1">
      <c r="M269" s="84"/>
      <c r="N269" s="84"/>
      <c r="O269" s="84"/>
    </row>
    <row r="270" ht="14.25" customHeight="1">
      <c r="M270" s="84"/>
      <c r="N270" s="84"/>
      <c r="O270" s="84"/>
    </row>
    <row r="271" ht="14.25" customHeight="1">
      <c r="M271" s="84"/>
      <c r="N271" s="84"/>
      <c r="O271" s="84"/>
    </row>
    <row r="272" ht="14.25" customHeight="1">
      <c r="M272" s="84"/>
      <c r="N272" s="84"/>
      <c r="O272" s="84"/>
    </row>
    <row r="273" ht="14.25" customHeight="1">
      <c r="M273" s="84"/>
      <c r="N273" s="84"/>
      <c r="O273" s="84"/>
    </row>
    <row r="274" ht="14.25" customHeight="1">
      <c r="M274" s="84"/>
      <c r="N274" s="84"/>
      <c r="O274" s="84"/>
    </row>
    <row r="275" ht="14.25" customHeight="1">
      <c r="M275" s="84"/>
      <c r="N275" s="84"/>
      <c r="O275" s="84"/>
    </row>
    <row r="276" ht="14.25" customHeight="1">
      <c r="M276" s="84"/>
      <c r="N276" s="84"/>
      <c r="O276" s="84"/>
    </row>
    <row r="277" ht="14.25" customHeight="1">
      <c r="M277" s="84"/>
      <c r="N277" s="84"/>
      <c r="O277" s="84"/>
    </row>
    <row r="278" ht="14.25" customHeight="1">
      <c r="M278" s="84"/>
      <c r="N278" s="84"/>
      <c r="O278" s="84"/>
    </row>
    <row r="279" ht="14.25" customHeight="1">
      <c r="M279" s="84"/>
      <c r="N279" s="84"/>
      <c r="O279" s="84"/>
    </row>
    <row r="280" ht="14.25" customHeight="1">
      <c r="M280" s="84"/>
      <c r="N280" s="84"/>
      <c r="O280" s="84"/>
    </row>
    <row r="281" ht="14.25" customHeight="1">
      <c r="M281" s="84"/>
      <c r="N281" s="84"/>
      <c r="O281" s="84"/>
    </row>
    <row r="282" ht="14.25" customHeight="1">
      <c r="M282" s="84"/>
      <c r="N282" s="84"/>
      <c r="O282" s="84"/>
    </row>
    <row r="283" ht="14.25" customHeight="1">
      <c r="M283" s="84"/>
      <c r="N283" s="84"/>
      <c r="O283" s="84"/>
    </row>
    <row r="284" ht="14.25" customHeight="1">
      <c r="M284" s="84"/>
      <c r="N284" s="84"/>
      <c r="O284" s="84"/>
    </row>
    <row r="285" ht="14.25" customHeight="1">
      <c r="M285" s="84"/>
      <c r="N285" s="84"/>
      <c r="O285" s="84"/>
    </row>
    <row r="286" ht="14.25" customHeight="1">
      <c r="M286" s="84"/>
      <c r="N286" s="84"/>
      <c r="O286" s="84"/>
    </row>
    <row r="287" ht="14.25" customHeight="1">
      <c r="M287" s="84"/>
      <c r="N287" s="84"/>
      <c r="O287" s="84"/>
    </row>
    <row r="288" ht="14.25" customHeight="1">
      <c r="M288" s="84"/>
      <c r="N288" s="84"/>
      <c r="O288" s="84"/>
    </row>
    <row r="289" ht="14.25" customHeight="1">
      <c r="M289" s="84"/>
      <c r="N289" s="84"/>
      <c r="O289" s="84"/>
    </row>
    <row r="290" ht="14.25" customHeight="1">
      <c r="M290" s="84"/>
      <c r="N290" s="84"/>
      <c r="O290" s="84"/>
    </row>
    <row r="291" ht="14.25" customHeight="1">
      <c r="M291" s="84"/>
      <c r="N291" s="84"/>
      <c r="O291" s="84"/>
    </row>
    <row r="292" ht="14.25" customHeight="1">
      <c r="M292" s="84"/>
      <c r="N292" s="84"/>
      <c r="O292" s="84"/>
    </row>
    <row r="293" ht="14.25" customHeight="1">
      <c r="M293" s="84"/>
      <c r="N293" s="84"/>
      <c r="O293" s="84"/>
    </row>
    <row r="294" ht="14.25" customHeight="1">
      <c r="M294" s="84"/>
      <c r="N294" s="84"/>
      <c r="O294" s="84"/>
    </row>
    <row r="295" ht="14.25" customHeight="1">
      <c r="M295" s="84"/>
      <c r="N295" s="84"/>
      <c r="O295" s="84"/>
    </row>
    <row r="296" ht="14.25" customHeight="1">
      <c r="M296" s="84"/>
      <c r="N296" s="84"/>
      <c r="O296" s="84"/>
    </row>
    <row r="297" ht="14.25" customHeight="1">
      <c r="M297" s="84"/>
      <c r="N297" s="84"/>
      <c r="O297" s="84"/>
    </row>
    <row r="298" ht="14.25" customHeight="1">
      <c r="M298" s="84"/>
      <c r="N298" s="84"/>
      <c r="O298" s="84"/>
    </row>
    <row r="299" ht="14.25" customHeight="1">
      <c r="M299" s="84"/>
      <c r="N299" s="84"/>
      <c r="O299" s="84"/>
    </row>
    <row r="300" ht="14.25" customHeight="1">
      <c r="M300" s="84"/>
      <c r="N300" s="84"/>
      <c r="O300" s="84"/>
    </row>
    <row r="301" ht="14.25" customHeight="1">
      <c r="M301" s="84"/>
      <c r="N301" s="84"/>
      <c r="O301" s="84"/>
    </row>
    <row r="302" ht="14.25" customHeight="1">
      <c r="M302" s="84"/>
      <c r="N302" s="84"/>
      <c r="O302" s="84"/>
    </row>
    <row r="303" ht="14.25" customHeight="1">
      <c r="M303" s="84"/>
      <c r="N303" s="84"/>
      <c r="O303" s="84"/>
    </row>
    <row r="304" ht="14.25" customHeight="1">
      <c r="M304" s="84"/>
      <c r="N304" s="84"/>
      <c r="O304" s="84"/>
    </row>
    <row r="305" ht="14.25" customHeight="1">
      <c r="M305" s="84"/>
      <c r="N305" s="84"/>
      <c r="O305" s="84"/>
    </row>
    <row r="306" ht="14.25" customHeight="1">
      <c r="M306" s="84"/>
      <c r="N306" s="84"/>
      <c r="O306" s="84"/>
    </row>
    <row r="307" ht="14.25" customHeight="1">
      <c r="M307" s="84"/>
      <c r="N307" s="84"/>
      <c r="O307" s="84"/>
    </row>
    <row r="308" ht="14.25" customHeight="1">
      <c r="M308" s="84"/>
      <c r="N308" s="84"/>
      <c r="O308" s="84"/>
    </row>
    <row r="309" ht="14.25" customHeight="1">
      <c r="M309" s="84"/>
      <c r="N309" s="84"/>
      <c r="O309" s="84"/>
    </row>
    <row r="310" ht="14.25" customHeight="1">
      <c r="M310" s="84"/>
      <c r="N310" s="84"/>
      <c r="O310" s="84"/>
    </row>
    <row r="311" ht="14.25" customHeight="1">
      <c r="M311" s="84"/>
      <c r="N311" s="84"/>
      <c r="O311" s="84"/>
    </row>
    <row r="312" ht="14.25" customHeight="1">
      <c r="M312" s="84"/>
      <c r="N312" s="84"/>
      <c r="O312" s="84"/>
    </row>
    <row r="313" ht="14.25" customHeight="1">
      <c r="M313" s="84"/>
      <c r="N313" s="84"/>
      <c r="O313" s="84"/>
    </row>
    <row r="314" ht="14.25" customHeight="1">
      <c r="M314" s="84"/>
      <c r="N314" s="84"/>
      <c r="O314" s="84"/>
    </row>
    <row r="315" ht="14.25" customHeight="1">
      <c r="M315" s="84"/>
      <c r="N315" s="84"/>
      <c r="O315" s="84"/>
    </row>
    <row r="316" ht="14.25" customHeight="1">
      <c r="M316" s="84"/>
      <c r="N316" s="84"/>
      <c r="O316" s="84"/>
    </row>
    <row r="317" ht="14.25" customHeight="1">
      <c r="M317" s="84"/>
      <c r="N317" s="84"/>
      <c r="O317" s="84"/>
    </row>
    <row r="318" ht="14.25" customHeight="1">
      <c r="M318" s="84"/>
      <c r="N318" s="84"/>
      <c r="O318" s="84"/>
    </row>
    <row r="319" ht="14.25" customHeight="1">
      <c r="M319" s="84"/>
      <c r="N319" s="84"/>
      <c r="O319" s="84"/>
    </row>
    <row r="320" ht="14.25" customHeight="1">
      <c r="M320" s="84"/>
      <c r="N320" s="84"/>
      <c r="O320" s="84"/>
    </row>
    <row r="321" ht="14.25" customHeight="1">
      <c r="M321" s="84"/>
      <c r="N321" s="84"/>
      <c r="O321" s="84"/>
    </row>
    <row r="322" ht="14.25" customHeight="1">
      <c r="M322" s="84"/>
      <c r="N322" s="84"/>
      <c r="O322" s="84"/>
    </row>
    <row r="323" ht="14.25" customHeight="1">
      <c r="M323" s="84"/>
      <c r="N323" s="84"/>
      <c r="O323" s="84"/>
    </row>
    <row r="324" ht="14.25" customHeight="1">
      <c r="M324" s="84"/>
      <c r="N324" s="84"/>
      <c r="O324" s="84"/>
    </row>
    <row r="325" ht="14.25" customHeight="1">
      <c r="M325" s="84"/>
      <c r="N325" s="84"/>
      <c r="O325" s="84"/>
    </row>
    <row r="326" ht="14.25" customHeight="1">
      <c r="M326" s="84"/>
      <c r="N326" s="84"/>
      <c r="O326" s="84"/>
    </row>
    <row r="327" ht="14.25" customHeight="1">
      <c r="M327" s="84"/>
      <c r="N327" s="84"/>
      <c r="O327" s="84"/>
    </row>
    <row r="328" ht="14.25" customHeight="1">
      <c r="M328" s="84"/>
      <c r="N328" s="84"/>
      <c r="O328" s="84"/>
    </row>
    <row r="329" ht="14.25" customHeight="1">
      <c r="M329" s="84"/>
      <c r="N329" s="84"/>
      <c r="O329" s="84"/>
    </row>
    <row r="330" ht="14.25" customHeight="1">
      <c r="M330" s="84"/>
      <c r="N330" s="84"/>
      <c r="O330" s="84"/>
    </row>
    <row r="331" ht="14.25" customHeight="1">
      <c r="M331" s="84"/>
      <c r="N331" s="84"/>
      <c r="O331" s="84"/>
    </row>
    <row r="332" ht="14.25" customHeight="1">
      <c r="M332" s="84"/>
      <c r="N332" s="84"/>
      <c r="O332" s="84"/>
    </row>
    <row r="333" ht="14.25" customHeight="1">
      <c r="M333" s="84"/>
      <c r="N333" s="84"/>
      <c r="O333" s="84"/>
    </row>
    <row r="334" ht="14.25" customHeight="1">
      <c r="M334" s="84"/>
      <c r="N334" s="84"/>
      <c r="O334" s="84"/>
    </row>
    <row r="335" ht="14.25" customHeight="1">
      <c r="M335" s="84"/>
      <c r="N335" s="84"/>
      <c r="O335" s="84"/>
    </row>
    <row r="336" ht="14.25" customHeight="1">
      <c r="M336" s="84"/>
      <c r="N336" s="84"/>
      <c r="O336" s="84"/>
    </row>
    <row r="337" ht="14.25" customHeight="1">
      <c r="M337" s="84"/>
      <c r="N337" s="84"/>
      <c r="O337" s="84"/>
    </row>
    <row r="338" ht="14.25" customHeight="1">
      <c r="M338" s="84"/>
      <c r="N338" s="84"/>
      <c r="O338" s="84"/>
    </row>
    <row r="339" ht="14.25" customHeight="1">
      <c r="M339" s="84"/>
      <c r="N339" s="84"/>
      <c r="O339" s="84"/>
    </row>
    <row r="340" ht="14.25" customHeight="1">
      <c r="M340" s="84"/>
      <c r="N340" s="84"/>
      <c r="O340" s="84"/>
    </row>
    <row r="341" ht="14.25" customHeight="1">
      <c r="M341" s="84"/>
      <c r="N341" s="84"/>
      <c r="O341" s="84"/>
    </row>
    <row r="342" ht="14.25" customHeight="1">
      <c r="M342" s="84"/>
      <c r="N342" s="84"/>
      <c r="O342" s="84"/>
    </row>
    <row r="343" ht="14.25" customHeight="1">
      <c r="M343" s="84"/>
      <c r="N343" s="84"/>
      <c r="O343" s="84"/>
    </row>
    <row r="344" ht="14.25" customHeight="1">
      <c r="M344" s="84"/>
      <c r="N344" s="84"/>
      <c r="O344" s="84"/>
    </row>
    <row r="345" ht="14.25" customHeight="1">
      <c r="M345" s="84"/>
      <c r="N345" s="84"/>
      <c r="O345" s="84"/>
    </row>
    <row r="346" ht="14.25" customHeight="1">
      <c r="M346" s="84"/>
      <c r="N346" s="84"/>
      <c r="O346" s="84"/>
    </row>
    <row r="347" ht="14.25" customHeight="1">
      <c r="M347" s="84"/>
      <c r="N347" s="84"/>
      <c r="O347" s="84"/>
    </row>
    <row r="348" ht="14.25" customHeight="1">
      <c r="M348" s="84"/>
      <c r="N348" s="84"/>
      <c r="O348" s="84"/>
    </row>
    <row r="349" ht="14.25" customHeight="1">
      <c r="M349" s="84"/>
      <c r="N349" s="84"/>
      <c r="O349" s="84"/>
    </row>
    <row r="350" ht="14.25" customHeight="1">
      <c r="M350" s="84"/>
      <c r="N350" s="84"/>
      <c r="O350" s="84"/>
    </row>
    <row r="351" ht="14.25" customHeight="1">
      <c r="M351" s="84"/>
      <c r="N351" s="84"/>
      <c r="O351" s="84"/>
    </row>
    <row r="352" ht="14.25" customHeight="1">
      <c r="M352" s="84"/>
      <c r="N352" s="84"/>
      <c r="O352" s="84"/>
    </row>
    <row r="353" ht="14.25" customHeight="1">
      <c r="M353" s="84"/>
      <c r="N353" s="84"/>
      <c r="O353" s="84"/>
    </row>
    <row r="354" ht="14.25" customHeight="1">
      <c r="M354" s="84"/>
      <c r="N354" s="84"/>
      <c r="O354" s="84"/>
    </row>
    <row r="355" ht="14.25" customHeight="1">
      <c r="M355" s="84"/>
      <c r="N355" s="84"/>
      <c r="O355" s="84"/>
    </row>
    <row r="356" ht="14.25" customHeight="1">
      <c r="M356" s="84"/>
      <c r="N356" s="84"/>
      <c r="O356" s="84"/>
    </row>
    <row r="357" ht="14.25" customHeight="1">
      <c r="M357" s="84"/>
      <c r="N357" s="84"/>
      <c r="O357" s="84"/>
    </row>
    <row r="358" ht="14.25" customHeight="1">
      <c r="M358" s="84"/>
      <c r="N358" s="84"/>
      <c r="O358" s="84"/>
    </row>
    <row r="359" ht="14.25" customHeight="1">
      <c r="M359" s="84"/>
      <c r="N359" s="84"/>
      <c r="O359" s="84"/>
    </row>
    <row r="360" ht="14.25" customHeight="1">
      <c r="M360" s="84"/>
      <c r="N360" s="84"/>
      <c r="O360" s="84"/>
    </row>
    <row r="361" ht="14.25" customHeight="1">
      <c r="M361" s="84"/>
      <c r="N361" s="84"/>
      <c r="O361" s="84"/>
    </row>
    <row r="362" ht="14.25" customHeight="1">
      <c r="M362" s="84"/>
      <c r="N362" s="84"/>
      <c r="O362" s="84"/>
    </row>
    <row r="363" ht="14.25" customHeight="1">
      <c r="M363" s="84"/>
      <c r="N363" s="84"/>
      <c r="O363" s="84"/>
    </row>
    <row r="364" ht="14.25" customHeight="1">
      <c r="M364" s="84"/>
      <c r="N364" s="84"/>
      <c r="O364" s="84"/>
    </row>
    <row r="365" ht="14.25" customHeight="1">
      <c r="M365" s="84"/>
      <c r="N365" s="84"/>
      <c r="O365" s="84"/>
    </row>
    <row r="366" ht="14.25" customHeight="1">
      <c r="M366" s="84"/>
      <c r="N366" s="84"/>
      <c r="O366" s="84"/>
    </row>
    <row r="367" ht="14.25" customHeight="1">
      <c r="M367" s="84"/>
      <c r="N367" s="84"/>
      <c r="O367" s="84"/>
    </row>
    <row r="368" ht="14.25" customHeight="1">
      <c r="M368" s="84"/>
      <c r="N368" s="84"/>
      <c r="O368" s="84"/>
    </row>
    <row r="369" ht="14.25" customHeight="1">
      <c r="M369" s="84"/>
      <c r="N369" s="84"/>
      <c r="O369" s="84"/>
    </row>
    <row r="370" ht="14.25" customHeight="1">
      <c r="M370" s="84"/>
      <c r="N370" s="84"/>
      <c r="O370" s="84"/>
    </row>
    <row r="371" ht="14.25" customHeight="1">
      <c r="M371" s="84"/>
      <c r="N371" s="84"/>
      <c r="O371" s="84"/>
    </row>
    <row r="372" ht="14.25" customHeight="1">
      <c r="M372" s="84"/>
      <c r="N372" s="84"/>
      <c r="O372" s="84"/>
    </row>
    <row r="373" ht="14.25" customHeight="1">
      <c r="M373" s="84"/>
      <c r="N373" s="84"/>
      <c r="O373" s="84"/>
    </row>
    <row r="374" ht="14.25" customHeight="1">
      <c r="M374" s="84"/>
      <c r="N374" s="84"/>
      <c r="O374" s="84"/>
    </row>
    <row r="375" ht="14.25" customHeight="1">
      <c r="M375" s="84"/>
      <c r="N375" s="84"/>
      <c r="O375" s="84"/>
    </row>
    <row r="376" ht="14.25" customHeight="1">
      <c r="M376" s="84"/>
      <c r="N376" s="84"/>
      <c r="O376" s="84"/>
    </row>
    <row r="377" ht="14.25" customHeight="1">
      <c r="M377" s="84"/>
      <c r="N377" s="84"/>
      <c r="O377" s="84"/>
    </row>
    <row r="378" ht="14.25" customHeight="1">
      <c r="M378" s="84"/>
      <c r="N378" s="84"/>
      <c r="O378" s="84"/>
    </row>
    <row r="379" ht="14.25" customHeight="1">
      <c r="M379" s="84"/>
      <c r="N379" s="84"/>
      <c r="O379" s="84"/>
    </row>
    <row r="380" ht="14.25" customHeight="1">
      <c r="M380" s="84"/>
      <c r="N380" s="84"/>
      <c r="O380" s="84"/>
    </row>
    <row r="381" ht="14.25" customHeight="1">
      <c r="M381" s="84"/>
      <c r="N381" s="84"/>
      <c r="O381" s="84"/>
    </row>
    <row r="382" ht="14.25" customHeight="1">
      <c r="M382" s="84"/>
      <c r="N382" s="84"/>
      <c r="O382" s="84"/>
    </row>
    <row r="383" ht="14.25" customHeight="1">
      <c r="M383" s="84"/>
      <c r="N383" s="84"/>
      <c r="O383" s="84"/>
    </row>
    <row r="384" ht="14.25" customHeight="1">
      <c r="M384" s="84"/>
      <c r="N384" s="84"/>
      <c r="O384" s="84"/>
    </row>
    <row r="385" ht="14.25" customHeight="1">
      <c r="M385" s="84"/>
      <c r="N385" s="84"/>
      <c r="O385" s="84"/>
    </row>
    <row r="386" ht="14.25" customHeight="1">
      <c r="M386" s="84"/>
      <c r="N386" s="84"/>
      <c r="O386" s="84"/>
    </row>
    <row r="387" ht="14.25" customHeight="1">
      <c r="M387" s="84"/>
      <c r="N387" s="84"/>
      <c r="O387" s="84"/>
    </row>
    <row r="388" ht="14.25" customHeight="1">
      <c r="M388" s="84"/>
      <c r="N388" s="84"/>
      <c r="O388" s="84"/>
    </row>
    <row r="389" ht="14.25" customHeight="1">
      <c r="M389" s="84"/>
      <c r="N389" s="84"/>
      <c r="O389" s="84"/>
    </row>
    <row r="390" ht="14.25" customHeight="1">
      <c r="M390" s="84"/>
      <c r="N390" s="84"/>
      <c r="O390" s="84"/>
    </row>
    <row r="391" ht="14.25" customHeight="1">
      <c r="M391" s="84"/>
      <c r="N391" s="84"/>
      <c r="O391" s="84"/>
    </row>
    <row r="392" ht="14.25" customHeight="1">
      <c r="M392" s="84"/>
      <c r="N392" s="84"/>
      <c r="O392" s="84"/>
    </row>
    <row r="393" ht="14.25" customHeight="1">
      <c r="M393" s="84"/>
      <c r="N393" s="84"/>
      <c r="O393" s="84"/>
    </row>
    <row r="394" ht="14.25" customHeight="1">
      <c r="M394" s="84"/>
      <c r="N394" s="84"/>
      <c r="O394" s="84"/>
    </row>
    <row r="395" ht="14.25" customHeight="1">
      <c r="M395" s="84"/>
      <c r="N395" s="84"/>
      <c r="O395" s="84"/>
    </row>
    <row r="396" ht="14.25" customHeight="1">
      <c r="M396" s="84"/>
      <c r="N396" s="84"/>
      <c r="O396" s="84"/>
    </row>
    <row r="397" ht="14.25" customHeight="1">
      <c r="M397" s="84"/>
      <c r="N397" s="84"/>
      <c r="O397" s="84"/>
    </row>
    <row r="398" ht="14.25" customHeight="1">
      <c r="M398" s="84"/>
      <c r="N398" s="84"/>
      <c r="O398" s="84"/>
    </row>
    <row r="399" ht="14.25" customHeight="1">
      <c r="M399" s="84"/>
      <c r="N399" s="84"/>
      <c r="O399" s="84"/>
    </row>
    <row r="400" ht="14.25" customHeight="1">
      <c r="M400" s="84"/>
      <c r="N400" s="84"/>
      <c r="O400" s="84"/>
    </row>
    <row r="401" ht="14.25" customHeight="1">
      <c r="M401" s="84"/>
      <c r="N401" s="84"/>
      <c r="O401" s="84"/>
    </row>
    <row r="402" ht="14.25" customHeight="1">
      <c r="M402" s="84"/>
      <c r="N402" s="84"/>
      <c r="O402" s="84"/>
    </row>
    <row r="403" ht="14.25" customHeight="1">
      <c r="M403" s="84"/>
      <c r="N403" s="84"/>
      <c r="O403" s="84"/>
    </row>
    <row r="404" ht="14.25" customHeight="1">
      <c r="M404" s="84"/>
      <c r="N404" s="84"/>
      <c r="O404" s="84"/>
    </row>
    <row r="405" ht="14.25" customHeight="1">
      <c r="M405" s="84"/>
      <c r="N405" s="84"/>
      <c r="O405" s="84"/>
    </row>
    <row r="406" ht="14.25" customHeight="1">
      <c r="M406" s="84"/>
      <c r="N406" s="84"/>
      <c r="O406" s="84"/>
    </row>
    <row r="407" ht="14.25" customHeight="1">
      <c r="M407" s="84"/>
      <c r="N407" s="84"/>
      <c r="O407" s="84"/>
    </row>
    <row r="408" ht="14.25" customHeight="1">
      <c r="M408" s="84"/>
      <c r="N408" s="84"/>
      <c r="O408" s="84"/>
    </row>
    <row r="409" ht="14.25" customHeight="1">
      <c r="M409" s="84"/>
      <c r="N409" s="84"/>
      <c r="O409" s="84"/>
    </row>
    <row r="410" ht="14.25" customHeight="1">
      <c r="M410" s="84"/>
      <c r="N410" s="84"/>
      <c r="O410" s="84"/>
    </row>
    <row r="411" ht="14.25" customHeight="1">
      <c r="M411" s="84"/>
      <c r="N411" s="84"/>
      <c r="O411" s="84"/>
    </row>
    <row r="412" ht="14.25" customHeight="1">
      <c r="M412" s="84"/>
      <c r="N412" s="84"/>
      <c r="O412" s="84"/>
    </row>
    <row r="413" ht="14.25" customHeight="1">
      <c r="M413" s="84"/>
      <c r="N413" s="84"/>
      <c r="O413" s="84"/>
    </row>
    <row r="414" ht="14.25" customHeight="1">
      <c r="M414" s="84"/>
      <c r="N414" s="84"/>
      <c r="O414" s="84"/>
    </row>
    <row r="415" ht="14.25" customHeight="1">
      <c r="M415" s="84"/>
      <c r="N415" s="84"/>
      <c r="O415" s="84"/>
    </row>
    <row r="416" ht="14.25" customHeight="1">
      <c r="M416" s="84"/>
      <c r="N416" s="84"/>
      <c r="O416" s="84"/>
    </row>
    <row r="417" ht="14.25" customHeight="1">
      <c r="M417" s="84"/>
      <c r="N417" s="84"/>
      <c r="O417" s="84"/>
    </row>
    <row r="418" ht="14.25" customHeight="1">
      <c r="M418" s="84"/>
      <c r="N418" s="84"/>
      <c r="O418" s="84"/>
    </row>
    <row r="419" ht="14.25" customHeight="1">
      <c r="M419" s="84"/>
      <c r="N419" s="84"/>
      <c r="O419" s="84"/>
    </row>
    <row r="420" ht="14.25" customHeight="1">
      <c r="M420" s="84"/>
      <c r="N420" s="84"/>
      <c r="O420" s="84"/>
    </row>
    <row r="421" ht="14.25" customHeight="1">
      <c r="M421" s="84"/>
      <c r="N421" s="84"/>
      <c r="O421" s="84"/>
    </row>
    <row r="422" ht="14.25" customHeight="1">
      <c r="M422" s="84"/>
      <c r="N422" s="84"/>
      <c r="O422" s="84"/>
    </row>
    <row r="423" ht="14.25" customHeight="1">
      <c r="M423" s="84"/>
      <c r="N423" s="84"/>
      <c r="O423" s="84"/>
    </row>
    <row r="424" ht="14.25" customHeight="1">
      <c r="M424" s="84"/>
      <c r="N424" s="84"/>
      <c r="O424" s="84"/>
    </row>
    <row r="425" ht="14.25" customHeight="1">
      <c r="M425" s="84"/>
      <c r="N425" s="84"/>
      <c r="O425" s="84"/>
    </row>
    <row r="426" ht="14.25" customHeight="1">
      <c r="M426" s="84"/>
      <c r="N426" s="84"/>
      <c r="O426" s="84"/>
    </row>
    <row r="427" ht="14.25" customHeight="1">
      <c r="M427" s="84"/>
      <c r="N427" s="84"/>
      <c r="O427" s="84"/>
    </row>
    <row r="428" ht="14.25" customHeight="1">
      <c r="M428" s="84"/>
      <c r="N428" s="84"/>
      <c r="O428" s="84"/>
    </row>
    <row r="429" ht="14.25" customHeight="1">
      <c r="M429" s="84"/>
      <c r="N429" s="84"/>
      <c r="O429" s="84"/>
    </row>
    <row r="430" ht="14.25" customHeight="1">
      <c r="M430" s="84"/>
      <c r="N430" s="84"/>
      <c r="O430" s="84"/>
    </row>
    <row r="431" ht="14.25" customHeight="1">
      <c r="M431" s="84"/>
      <c r="N431" s="84"/>
      <c r="O431" s="84"/>
    </row>
    <row r="432" ht="14.25" customHeight="1">
      <c r="M432" s="84"/>
      <c r="N432" s="84"/>
      <c r="O432" s="84"/>
    </row>
    <row r="433" ht="14.25" customHeight="1">
      <c r="M433" s="84"/>
      <c r="N433" s="84"/>
      <c r="O433" s="84"/>
    </row>
    <row r="434" ht="14.25" customHeight="1">
      <c r="M434" s="84"/>
      <c r="N434" s="84"/>
      <c r="O434" s="84"/>
    </row>
    <row r="435" ht="14.25" customHeight="1">
      <c r="M435" s="84"/>
      <c r="N435" s="84"/>
      <c r="O435" s="84"/>
    </row>
    <row r="436" ht="14.25" customHeight="1">
      <c r="M436" s="84"/>
      <c r="N436" s="84"/>
      <c r="O436" s="84"/>
    </row>
    <row r="437" ht="14.25" customHeight="1">
      <c r="M437" s="84"/>
      <c r="N437" s="84"/>
      <c r="O437" s="84"/>
    </row>
    <row r="438" ht="14.25" customHeight="1">
      <c r="M438" s="84"/>
      <c r="N438" s="84"/>
      <c r="O438" s="84"/>
    </row>
    <row r="439" ht="14.25" customHeight="1">
      <c r="M439" s="84"/>
      <c r="N439" s="84"/>
      <c r="O439" s="84"/>
    </row>
    <row r="440" ht="14.25" customHeight="1">
      <c r="M440" s="84"/>
      <c r="N440" s="84"/>
      <c r="O440" s="84"/>
    </row>
    <row r="441" ht="14.25" customHeight="1">
      <c r="M441" s="84"/>
      <c r="N441" s="84"/>
      <c r="O441" s="84"/>
    </row>
    <row r="442" ht="14.25" customHeight="1">
      <c r="M442" s="84"/>
      <c r="N442" s="84"/>
      <c r="O442" s="84"/>
    </row>
    <row r="443" ht="14.25" customHeight="1">
      <c r="M443" s="84"/>
      <c r="N443" s="84"/>
      <c r="O443" s="84"/>
    </row>
    <row r="444" ht="14.25" customHeight="1">
      <c r="M444" s="84"/>
      <c r="N444" s="84"/>
      <c r="O444" s="84"/>
    </row>
    <row r="445" ht="14.25" customHeight="1">
      <c r="M445" s="84"/>
      <c r="N445" s="84"/>
      <c r="O445" s="84"/>
    </row>
    <row r="446" ht="14.25" customHeight="1">
      <c r="M446" s="84"/>
      <c r="N446" s="84"/>
      <c r="O446" s="84"/>
    </row>
    <row r="447" ht="14.25" customHeight="1">
      <c r="M447" s="84"/>
      <c r="N447" s="84"/>
      <c r="O447" s="84"/>
    </row>
    <row r="448" ht="14.25" customHeight="1">
      <c r="M448" s="84"/>
      <c r="N448" s="84"/>
      <c r="O448" s="84"/>
    </row>
    <row r="449" ht="14.25" customHeight="1">
      <c r="M449" s="84"/>
      <c r="N449" s="84"/>
      <c r="O449" s="84"/>
    </row>
    <row r="450" ht="14.25" customHeight="1">
      <c r="M450" s="84"/>
      <c r="N450" s="84"/>
      <c r="O450" s="84"/>
    </row>
    <row r="451" ht="14.25" customHeight="1">
      <c r="M451" s="84"/>
      <c r="N451" s="84"/>
      <c r="O451" s="84"/>
    </row>
    <row r="452" ht="14.25" customHeight="1">
      <c r="M452" s="84"/>
      <c r="N452" s="84"/>
      <c r="O452" s="84"/>
    </row>
    <row r="453" ht="14.25" customHeight="1">
      <c r="M453" s="84"/>
      <c r="N453" s="84"/>
      <c r="O453" s="84"/>
    </row>
    <row r="454" ht="14.25" customHeight="1">
      <c r="M454" s="84"/>
      <c r="N454" s="84"/>
      <c r="O454" s="84"/>
    </row>
    <row r="455" ht="14.25" customHeight="1">
      <c r="M455" s="84"/>
      <c r="N455" s="84"/>
      <c r="O455" s="84"/>
    </row>
    <row r="456" ht="14.25" customHeight="1">
      <c r="M456" s="84"/>
      <c r="N456" s="84"/>
      <c r="O456" s="84"/>
    </row>
    <row r="457" ht="14.25" customHeight="1">
      <c r="M457" s="84"/>
      <c r="N457" s="84"/>
      <c r="O457" s="84"/>
    </row>
    <row r="458" ht="14.25" customHeight="1">
      <c r="M458" s="84"/>
      <c r="N458" s="84"/>
      <c r="O458" s="84"/>
    </row>
    <row r="459" ht="14.25" customHeight="1">
      <c r="M459" s="84"/>
      <c r="N459" s="84"/>
      <c r="O459" s="84"/>
    </row>
    <row r="460" ht="14.25" customHeight="1">
      <c r="M460" s="84"/>
      <c r="N460" s="84"/>
      <c r="O460" s="84"/>
    </row>
    <row r="461" ht="14.25" customHeight="1">
      <c r="M461" s="84"/>
      <c r="N461" s="84"/>
      <c r="O461" s="84"/>
    </row>
    <row r="462" ht="14.25" customHeight="1">
      <c r="M462" s="84"/>
      <c r="N462" s="84"/>
      <c r="O462" s="84"/>
    </row>
    <row r="463" ht="14.25" customHeight="1">
      <c r="M463" s="84"/>
      <c r="N463" s="84"/>
      <c r="O463" s="84"/>
    </row>
    <row r="464" ht="14.25" customHeight="1">
      <c r="M464" s="84"/>
      <c r="N464" s="84"/>
      <c r="O464" s="84"/>
    </row>
    <row r="465" ht="14.25" customHeight="1">
      <c r="M465" s="84"/>
      <c r="N465" s="84"/>
      <c r="O465" s="84"/>
    </row>
    <row r="466" ht="14.25" customHeight="1">
      <c r="M466" s="84"/>
      <c r="N466" s="84"/>
      <c r="O466" s="84"/>
    </row>
    <row r="467" ht="14.25" customHeight="1">
      <c r="M467" s="84"/>
      <c r="N467" s="84"/>
      <c r="O467" s="84"/>
    </row>
    <row r="468" ht="14.25" customHeight="1">
      <c r="M468" s="84"/>
      <c r="N468" s="84"/>
      <c r="O468" s="84"/>
    </row>
    <row r="469" ht="14.25" customHeight="1">
      <c r="M469" s="84"/>
      <c r="N469" s="84"/>
      <c r="O469" s="84"/>
    </row>
    <row r="470" ht="14.25" customHeight="1">
      <c r="M470" s="84"/>
      <c r="N470" s="84"/>
      <c r="O470" s="84"/>
    </row>
    <row r="471" ht="14.25" customHeight="1">
      <c r="M471" s="84"/>
      <c r="N471" s="84"/>
      <c r="O471" s="84"/>
    </row>
    <row r="472" ht="14.25" customHeight="1">
      <c r="M472" s="84"/>
      <c r="N472" s="84"/>
      <c r="O472" s="84"/>
    </row>
    <row r="473" ht="14.25" customHeight="1">
      <c r="M473" s="84"/>
      <c r="N473" s="84"/>
      <c r="O473" s="84"/>
    </row>
    <row r="474" ht="14.25" customHeight="1">
      <c r="M474" s="84"/>
      <c r="N474" s="84"/>
      <c r="O474" s="84"/>
    </row>
    <row r="475" ht="14.25" customHeight="1">
      <c r="M475" s="84"/>
      <c r="N475" s="84"/>
      <c r="O475" s="84"/>
    </row>
    <row r="476" ht="14.25" customHeight="1">
      <c r="M476" s="84"/>
      <c r="N476" s="84"/>
      <c r="O476" s="84"/>
    </row>
    <row r="477" ht="14.25" customHeight="1">
      <c r="M477" s="84"/>
      <c r="N477" s="84"/>
      <c r="O477" s="84"/>
    </row>
    <row r="478" ht="14.25" customHeight="1">
      <c r="M478" s="84"/>
      <c r="N478" s="84"/>
      <c r="O478" s="84"/>
    </row>
    <row r="479" ht="14.25" customHeight="1">
      <c r="M479" s="84"/>
      <c r="N479" s="84"/>
      <c r="O479" s="84"/>
    </row>
    <row r="480" ht="14.25" customHeight="1">
      <c r="M480" s="84"/>
      <c r="N480" s="84"/>
      <c r="O480" s="84"/>
    </row>
    <row r="481" ht="14.25" customHeight="1">
      <c r="M481" s="84"/>
      <c r="N481" s="84"/>
      <c r="O481" s="84"/>
    </row>
    <row r="482" ht="14.25" customHeight="1">
      <c r="M482" s="84"/>
      <c r="N482" s="84"/>
      <c r="O482" s="84"/>
    </row>
    <row r="483" ht="14.25" customHeight="1">
      <c r="M483" s="84"/>
      <c r="N483" s="84"/>
      <c r="O483" s="84"/>
    </row>
    <row r="484" ht="14.25" customHeight="1">
      <c r="M484" s="84"/>
      <c r="N484" s="84"/>
      <c r="O484" s="84"/>
    </row>
    <row r="485" ht="14.25" customHeight="1">
      <c r="M485" s="84"/>
      <c r="N485" s="84"/>
      <c r="O485" s="84"/>
    </row>
    <row r="486" ht="14.25" customHeight="1">
      <c r="M486" s="84"/>
      <c r="N486" s="84"/>
      <c r="O486" s="84"/>
    </row>
    <row r="487" ht="14.25" customHeight="1">
      <c r="M487" s="84"/>
      <c r="N487" s="84"/>
      <c r="O487" s="84"/>
    </row>
    <row r="488" ht="14.25" customHeight="1">
      <c r="M488" s="84"/>
      <c r="N488" s="84"/>
      <c r="O488" s="84"/>
    </row>
    <row r="489" ht="14.25" customHeight="1">
      <c r="M489" s="84"/>
      <c r="N489" s="84"/>
      <c r="O489" s="84"/>
    </row>
    <row r="490" ht="14.25" customHeight="1">
      <c r="M490" s="84"/>
      <c r="N490" s="84"/>
      <c r="O490" s="84"/>
    </row>
    <row r="491" ht="14.25" customHeight="1">
      <c r="M491" s="84"/>
      <c r="N491" s="84"/>
      <c r="O491" s="84"/>
    </row>
    <row r="492" ht="14.25" customHeight="1">
      <c r="M492" s="84"/>
      <c r="N492" s="84"/>
      <c r="O492" s="84"/>
    </row>
    <row r="493" ht="14.25" customHeight="1">
      <c r="M493" s="84"/>
      <c r="N493" s="84"/>
      <c r="O493" s="84"/>
    </row>
    <row r="494" ht="14.25" customHeight="1">
      <c r="M494" s="84"/>
      <c r="N494" s="84"/>
      <c r="O494" s="84"/>
    </row>
    <row r="495" ht="14.25" customHeight="1">
      <c r="M495" s="84"/>
      <c r="N495" s="84"/>
      <c r="O495" s="84"/>
    </row>
    <row r="496" ht="14.25" customHeight="1">
      <c r="M496" s="84"/>
      <c r="N496" s="84"/>
      <c r="O496" s="84"/>
    </row>
    <row r="497" ht="14.25" customHeight="1">
      <c r="M497" s="84"/>
      <c r="N497" s="84"/>
      <c r="O497" s="84"/>
    </row>
    <row r="498" ht="14.25" customHeight="1">
      <c r="M498" s="84"/>
      <c r="N498" s="84"/>
      <c r="O498" s="84"/>
    </row>
    <row r="499" ht="14.25" customHeight="1">
      <c r="M499" s="84"/>
      <c r="N499" s="84"/>
      <c r="O499" s="84"/>
    </row>
    <row r="500" ht="14.25" customHeight="1">
      <c r="M500" s="84"/>
      <c r="N500" s="84"/>
      <c r="O500" s="84"/>
    </row>
    <row r="501" ht="14.25" customHeight="1">
      <c r="M501" s="84"/>
      <c r="N501" s="84"/>
      <c r="O501" s="84"/>
    </row>
    <row r="502" ht="14.25" customHeight="1">
      <c r="M502" s="84"/>
      <c r="N502" s="84"/>
      <c r="O502" s="84"/>
    </row>
    <row r="503" ht="14.25" customHeight="1">
      <c r="M503" s="84"/>
      <c r="N503" s="84"/>
      <c r="O503" s="84"/>
    </row>
    <row r="504" ht="14.25" customHeight="1">
      <c r="M504" s="84"/>
      <c r="N504" s="84"/>
      <c r="O504" s="84"/>
    </row>
    <row r="505" ht="14.25" customHeight="1">
      <c r="M505" s="84"/>
      <c r="N505" s="84"/>
      <c r="O505" s="84"/>
    </row>
    <row r="506" ht="14.25" customHeight="1">
      <c r="M506" s="84"/>
      <c r="N506" s="84"/>
      <c r="O506" s="84"/>
    </row>
    <row r="507" ht="14.25" customHeight="1">
      <c r="M507" s="84"/>
      <c r="N507" s="84"/>
      <c r="O507" s="84"/>
    </row>
    <row r="508" ht="14.25" customHeight="1">
      <c r="M508" s="84"/>
      <c r="N508" s="84"/>
      <c r="O508" s="84"/>
    </row>
    <row r="509" ht="14.25" customHeight="1">
      <c r="M509" s="84"/>
      <c r="N509" s="84"/>
      <c r="O509" s="84"/>
    </row>
    <row r="510" ht="14.25" customHeight="1">
      <c r="M510" s="84"/>
      <c r="N510" s="84"/>
      <c r="O510" s="84"/>
    </row>
    <row r="511" ht="14.25" customHeight="1">
      <c r="M511" s="84"/>
      <c r="N511" s="84"/>
      <c r="O511" s="84"/>
    </row>
    <row r="512" ht="14.25" customHeight="1">
      <c r="M512" s="84"/>
      <c r="N512" s="84"/>
      <c r="O512" s="84"/>
    </row>
    <row r="513" ht="14.25" customHeight="1">
      <c r="M513" s="84"/>
      <c r="N513" s="84"/>
      <c r="O513" s="84"/>
    </row>
    <row r="514" ht="14.25" customHeight="1">
      <c r="M514" s="84"/>
      <c r="N514" s="84"/>
      <c r="O514" s="84"/>
    </row>
    <row r="515" ht="14.25" customHeight="1">
      <c r="M515" s="84"/>
      <c r="N515" s="84"/>
      <c r="O515" s="84"/>
    </row>
    <row r="516" ht="14.25" customHeight="1">
      <c r="M516" s="84"/>
      <c r="N516" s="84"/>
      <c r="O516" s="84"/>
    </row>
    <row r="517" ht="14.25" customHeight="1">
      <c r="M517" s="84"/>
      <c r="N517" s="84"/>
      <c r="O517" s="84"/>
    </row>
    <row r="518" ht="14.25" customHeight="1">
      <c r="M518" s="84"/>
      <c r="N518" s="84"/>
      <c r="O518" s="84"/>
    </row>
    <row r="519" ht="14.25" customHeight="1">
      <c r="M519" s="84"/>
      <c r="N519" s="84"/>
      <c r="O519" s="84"/>
    </row>
    <row r="520" ht="14.25" customHeight="1">
      <c r="M520" s="84"/>
      <c r="N520" s="84"/>
      <c r="O520" s="84"/>
    </row>
    <row r="521" ht="14.25" customHeight="1">
      <c r="M521" s="84"/>
      <c r="N521" s="84"/>
      <c r="O521" s="84"/>
    </row>
    <row r="522" ht="14.25" customHeight="1">
      <c r="M522" s="84"/>
      <c r="N522" s="84"/>
      <c r="O522" s="84"/>
    </row>
    <row r="523" ht="14.25" customHeight="1">
      <c r="M523" s="84"/>
      <c r="N523" s="84"/>
      <c r="O523" s="84"/>
    </row>
    <row r="524" ht="14.25" customHeight="1">
      <c r="M524" s="84"/>
      <c r="N524" s="84"/>
      <c r="O524" s="84"/>
    </row>
    <row r="525" ht="14.25" customHeight="1">
      <c r="M525" s="84"/>
      <c r="N525" s="84"/>
      <c r="O525" s="84"/>
    </row>
    <row r="526" ht="14.25" customHeight="1">
      <c r="M526" s="84"/>
      <c r="N526" s="84"/>
      <c r="O526" s="84"/>
    </row>
    <row r="527" ht="14.25" customHeight="1">
      <c r="M527" s="84"/>
      <c r="N527" s="84"/>
      <c r="O527" s="84"/>
    </row>
    <row r="528" ht="14.25" customHeight="1">
      <c r="M528" s="84"/>
      <c r="N528" s="84"/>
      <c r="O528" s="84"/>
    </row>
    <row r="529" ht="14.25" customHeight="1">
      <c r="M529" s="84"/>
      <c r="N529" s="84"/>
      <c r="O529" s="84"/>
    </row>
    <row r="530" ht="14.25" customHeight="1">
      <c r="M530" s="84"/>
      <c r="N530" s="84"/>
      <c r="O530" s="84"/>
    </row>
    <row r="531" ht="14.25" customHeight="1">
      <c r="M531" s="84"/>
      <c r="N531" s="84"/>
      <c r="O531" s="84"/>
    </row>
    <row r="532" ht="14.25" customHeight="1">
      <c r="M532" s="84"/>
      <c r="N532" s="84"/>
      <c r="O532" s="84"/>
    </row>
    <row r="533" ht="14.25" customHeight="1">
      <c r="M533" s="84"/>
      <c r="N533" s="84"/>
      <c r="O533" s="84"/>
    </row>
    <row r="534" ht="14.25" customHeight="1">
      <c r="M534" s="84"/>
      <c r="N534" s="84"/>
      <c r="O534" s="84"/>
    </row>
    <row r="535" ht="14.25" customHeight="1">
      <c r="M535" s="84"/>
      <c r="N535" s="84"/>
      <c r="O535" s="84"/>
    </row>
    <row r="536" ht="14.25" customHeight="1">
      <c r="M536" s="84"/>
      <c r="N536" s="84"/>
      <c r="O536" s="84"/>
    </row>
    <row r="537" ht="14.25" customHeight="1">
      <c r="M537" s="84"/>
      <c r="N537" s="84"/>
      <c r="O537" s="84"/>
    </row>
    <row r="538" ht="14.25" customHeight="1">
      <c r="M538" s="84"/>
      <c r="N538" s="84"/>
      <c r="O538" s="84"/>
    </row>
    <row r="539" ht="14.25" customHeight="1">
      <c r="M539" s="84"/>
      <c r="N539" s="84"/>
      <c r="O539" s="84"/>
    </row>
    <row r="540" ht="14.25" customHeight="1">
      <c r="M540" s="84"/>
      <c r="N540" s="84"/>
      <c r="O540" s="84"/>
    </row>
    <row r="541" ht="14.25" customHeight="1">
      <c r="M541" s="84"/>
      <c r="N541" s="84"/>
      <c r="O541" s="84"/>
    </row>
    <row r="542" ht="14.25" customHeight="1">
      <c r="M542" s="84"/>
      <c r="N542" s="84"/>
      <c r="O542" s="84"/>
    </row>
    <row r="543" ht="14.25" customHeight="1">
      <c r="M543" s="84"/>
      <c r="N543" s="84"/>
      <c r="O543" s="84"/>
    </row>
    <row r="544" ht="14.25" customHeight="1">
      <c r="M544" s="84"/>
      <c r="N544" s="84"/>
      <c r="O544" s="84"/>
    </row>
    <row r="545" ht="14.25" customHeight="1">
      <c r="M545" s="84"/>
      <c r="N545" s="84"/>
      <c r="O545" s="84"/>
    </row>
    <row r="546" ht="14.25" customHeight="1">
      <c r="M546" s="84"/>
      <c r="N546" s="84"/>
      <c r="O546" s="84"/>
    </row>
    <row r="547" ht="14.25" customHeight="1">
      <c r="M547" s="84"/>
      <c r="N547" s="84"/>
      <c r="O547" s="84"/>
    </row>
    <row r="548" ht="14.25" customHeight="1">
      <c r="M548" s="84"/>
      <c r="N548" s="84"/>
      <c r="O548" s="84"/>
    </row>
    <row r="549" ht="14.25" customHeight="1">
      <c r="M549" s="84"/>
      <c r="N549" s="84"/>
      <c r="O549" s="84"/>
    </row>
    <row r="550" ht="14.25" customHeight="1">
      <c r="M550" s="84"/>
      <c r="N550" s="84"/>
      <c r="O550" s="84"/>
    </row>
    <row r="551" ht="14.25" customHeight="1">
      <c r="M551" s="84"/>
      <c r="N551" s="84"/>
      <c r="O551" s="84"/>
    </row>
    <row r="552" ht="14.25" customHeight="1">
      <c r="M552" s="84"/>
      <c r="N552" s="84"/>
      <c r="O552" s="84"/>
    </row>
    <row r="553" ht="14.25" customHeight="1">
      <c r="M553" s="84"/>
      <c r="N553" s="84"/>
      <c r="O553" s="84"/>
    </row>
    <row r="554" ht="14.25" customHeight="1">
      <c r="M554" s="84"/>
      <c r="N554" s="84"/>
      <c r="O554" s="84"/>
    </row>
    <row r="555" ht="14.25" customHeight="1">
      <c r="M555" s="84"/>
      <c r="N555" s="84"/>
      <c r="O555" s="84"/>
    </row>
    <row r="556" ht="14.25" customHeight="1">
      <c r="M556" s="84"/>
      <c r="N556" s="84"/>
      <c r="O556" s="84"/>
    </row>
    <row r="557" ht="14.25" customHeight="1">
      <c r="M557" s="84"/>
      <c r="N557" s="84"/>
      <c r="O557" s="84"/>
    </row>
    <row r="558" ht="14.25" customHeight="1">
      <c r="M558" s="84"/>
      <c r="N558" s="84"/>
      <c r="O558" s="84"/>
    </row>
    <row r="559" ht="14.25" customHeight="1">
      <c r="M559" s="84"/>
      <c r="N559" s="84"/>
      <c r="O559" s="84"/>
    </row>
    <row r="560" ht="14.25" customHeight="1">
      <c r="M560" s="84"/>
      <c r="N560" s="84"/>
      <c r="O560" s="84"/>
    </row>
    <row r="561" ht="14.25" customHeight="1">
      <c r="M561" s="84"/>
      <c r="N561" s="84"/>
      <c r="O561" s="84"/>
    </row>
    <row r="562" ht="14.25" customHeight="1">
      <c r="M562" s="84"/>
      <c r="N562" s="84"/>
      <c r="O562" s="84"/>
    </row>
    <row r="563" ht="14.25" customHeight="1">
      <c r="M563" s="84"/>
      <c r="N563" s="84"/>
      <c r="O563" s="84"/>
    </row>
    <row r="564" ht="14.25" customHeight="1">
      <c r="M564" s="84"/>
      <c r="N564" s="84"/>
      <c r="O564" s="84"/>
    </row>
    <row r="565" ht="14.25" customHeight="1">
      <c r="M565" s="84"/>
      <c r="N565" s="84"/>
      <c r="O565" s="84"/>
    </row>
    <row r="566" ht="14.25" customHeight="1">
      <c r="M566" s="84"/>
      <c r="N566" s="84"/>
      <c r="O566" s="84"/>
    </row>
    <row r="567" ht="14.25" customHeight="1">
      <c r="M567" s="84"/>
      <c r="N567" s="84"/>
      <c r="O567" s="84"/>
    </row>
    <row r="568" ht="14.25" customHeight="1">
      <c r="M568" s="84"/>
      <c r="N568" s="84"/>
      <c r="O568" s="84"/>
    </row>
    <row r="569" ht="14.25" customHeight="1">
      <c r="M569" s="84"/>
      <c r="N569" s="84"/>
      <c r="O569" s="84"/>
    </row>
    <row r="570" ht="14.25" customHeight="1">
      <c r="M570" s="84"/>
      <c r="N570" s="84"/>
      <c r="O570" s="84"/>
    </row>
    <row r="571" ht="14.25" customHeight="1">
      <c r="M571" s="84"/>
      <c r="N571" s="84"/>
      <c r="O571" s="84"/>
    </row>
    <row r="572" ht="14.25" customHeight="1">
      <c r="M572" s="84"/>
      <c r="N572" s="84"/>
      <c r="O572" s="84"/>
    </row>
    <row r="573" ht="14.25" customHeight="1">
      <c r="M573" s="84"/>
      <c r="N573" s="84"/>
      <c r="O573" s="84"/>
    </row>
    <row r="574" ht="14.25" customHeight="1">
      <c r="M574" s="84"/>
      <c r="N574" s="84"/>
      <c r="O574" s="84"/>
    </row>
    <row r="575" ht="14.25" customHeight="1">
      <c r="M575" s="84"/>
      <c r="N575" s="84"/>
      <c r="O575" s="84"/>
    </row>
    <row r="576" ht="14.25" customHeight="1">
      <c r="M576" s="84"/>
      <c r="N576" s="84"/>
      <c r="O576" s="84"/>
    </row>
    <row r="577" ht="14.25" customHeight="1">
      <c r="M577" s="84"/>
      <c r="N577" s="84"/>
      <c r="O577" s="84"/>
    </row>
    <row r="578" ht="14.25" customHeight="1">
      <c r="M578" s="84"/>
      <c r="N578" s="84"/>
      <c r="O578" s="84"/>
    </row>
    <row r="579" ht="14.25" customHeight="1">
      <c r="M579" s="84"/>
      <c r="N579" s="84"/>
      <c r="O579" s="84"/>
    </row>
    <row r="580" ht="14.25" customHeight="1">
      <c r="M580" s="84"/>
      <c r="N580" s="84"/>
      <c r="O580" s="84"/>
    </row>
    <row r="581" ht="14.25" customHeight="1">
      <c r="M581" s="84"/>
      <c r="N581" s="84"/>
      <c r="O581" s="84"/>
    </row>
    <row r="582" ht="14.25" customHeight="1">
      <c r="M582" s="84"/>
      <c r="N582" s="84"/>
      <c r="O582" s="84"/>
    </row>
    <row r="583" ht="14.25" customHeight="1">
      <c r="M583" s="84"/>
      <c r="N583" s="84"/>
      <c r="O583" s="84"/>
    </row>
    <row r="584" ht="14.25" customHeight="1">
      <c r="M584" s="84"/>
      <c r="N584" s="84"/>
      <c r="O584" s="84"/>
    </row>
    <row r="585" ht="14.25" customHeight="1">
      <c r="M585" s="84"/>
      <c r="N585" s="84"/>
      <c r="O585" s="84"/>
    </row>
    <row r="586" ht="14.25" customHeight="1">
      <c r="M586" s="84"/>
      <c r="N586" s="84"/>
      <c r="O586" s="84"/>
    </row>
    <row r="587" ht="14.25" customHeight="1">
      <c r="M587" s="84"/>
      <c r="N587" s="84"/>
      <c r="O587" s="84"/>
    </row>
    <row r="588" ht="14.25" customHeight="1">
      <c r="M588" s="84"/>
      <c r="N588" s="84"/>
      <c r="O588" s="84"/>
    </row>
    <row r="589" ht="14.25" customHeight="1">
      <c r="M589" s="84"/>
      <c r="N589" s="84"/>
      <c r="O589" s="84"/>
    </row>
    <row r="590" ht="14.25" customHeight="1">
      <c r="M590" s="84"/>
      <c r="N590" s="84"/>
      <c r="O590" s="84"/>
    </row>
    <row r="591" ht="14.25" customHeight="1">
      <c r="M591" s="84"/>
      <c r="N591" s="84"/>
      <c r="O591" s="84"/>
    </row>
    <row r="592" ht="14.25" customHeight="1">
      <c r="M592" s="84"/>
      <c r="N592" s="84"/>
      <c r="O592" s="84"/>
    </row>
    <row r="593" ht="14.25" customHeight="1">
      <c r="M593" s="84"/>
      <c r="N593" s="84"/>
      <c r="O593" s="84"/>
    </row>
    <row r="594" ht="14.25" customHeight="1">
      <c r="M594" s="84"/>
      <c r="N594" s="84"/>
      <c r="O594" s="84"/>
    </row>
    <row r="595" ht="14.25" customHeight="1">
      <c r="M595" s="84"/>
      <c r="N595" s="84"/>
      <c r="O595" s="84"/>
    </row>
    <row r="596" ht="14.25" customHeight="1">
      <c r="M596" s="84"/>
      <c r="N596" s="84"/>
      <c r="O596" s="84"/>
    </row>
    <row r="597" ht="14.25" customHeight="1">
      <c r="M597" s="84"/>
      <c r="N597" s="84"/>
      <c r="O597" s="84"/>
    </row>
    <row r="598" ht="14.25" customHeight="1">
      <c r="M598" s="84"/>
      <c r="N598" s="84"/>
      <c r="O598" s="84"/>
    </row>
    <row r="599" ht="14.25" customHeight="1">
      <c r="M599" s="84"/>
      <c r="N599" s="84"/>
      <c r="O599" s="84"/>
    </row>
    <row r="600" ht="14.25" customHeight="1">
      <c r="M600" s="84"/>
      <c r="N600" s="84"/>
      <c r="O600" s="84"/>
    </row>
    <row r="601" ht="14.25" customHeight="1">
      <c r="M601" s="84"/>
      <c r="N601" s="84"/>
      <c r="O601" s="84"/>
    </row>
    <row r="602" ht="14.25" customHeight="1">
      <c r="M602" s="84"/>
      <c r="N602" s="84"/>
      <c r="O602" s="84"/>
    </row>
    <row r="603" ht="14.25" customHeight="1">
      <c r="M603" s="84"/>
      <c r="N603" s="84"/>
      <c r="O603" s="84"/>
    </row>
    <row r="604" ht="14.25" customHeight="1">
      <c r="M604" s="84"/>
      <c r="N604" s="84"/>
      <c r="O604" s="84"/>
    </row>
    <row r="605" ht="14.25" customHeight="1">
      <c r="M605" s="84"/>
      <c r="N605" s="84"/>
      <c r="O605" s="84"/>
    </row>
    <row r="606" ht="14.25" customHeight="1">
      <c r="M606" s="84"/>
      <c r="N606" s="84"/>
      <c r="O606" s="84"/>
    </row>
    <row r="607" ht="14.25" customHeight="1">
      <c r="M607" s="84"/>
      <c r="N607" s="84"/>
      <c r="O607" s="84"/>
    </row>
    <row r="608" ht="14.25" customHeight="1">
      <c r="M608" s="84"/>
      <c r="N608" s="84"/>
      <c r="O608" s="84"/>
    </row>
    <row r="609" ht="14.25" customHeight="1">
      <c r="M609" s="84"/>
      <c r="N609" s="84"/>
      <c r="O609" s="84"/>
    </row>
    <row r="610" ht="14.25" customHeight="1">
      <c r="M610" s="84"/>
      <c r="N610" s="84"/>
      <c r="O610" s="84"/>
    </row>
    <row r="611" ht="14.25" customHeight="1">
      <c r="M611" s="84"/>
      <c r="N611" s="84"/>
      <c r="O611" s="84"/>
    </row>
    <row r="612" ht="14.25" customHeight="1">
      <c r="M612" s="84"/>
      <c r="N612" s="84"/>
      <c r="O612" s="84"/>
    </row>
    <row r="613" ht="14.25" customHeight="1">
      <c r="M613" s="84"/>
      <c r="N613" s="84"/>
      <c r="O613" s="84"/>
    </row>
    <row r="614" ht="14.25" customHeight="1">
      <c r="M614" s="84"/>
      <c r="N614" s="84"/>
      <c r="O614" s="84"/>
    </row>
    <row r="615" ht="14.25" customHeight="1">
      <c r="M615" s="84"/>
      <c r="N615" s="84"/>
      <c r="O615" s="84"/>
    </row>
    <row r="616" ht="14.25" customHeight="1">
      <c r="M616" s="84"/>
      <c r="N616" s="84"/>
      <c r="O616" s="84"/>
    </row>
    <row r="617" ht="14.25" customHeight="1">
      <c r="M617" s="84"/>
      <c r="N617" s="84"/>
      <c r="O617" s="84"/>
    </row>
    <row r="618" ht="14.25" customHeight="1">
      <c r="M618" s="84"/>
      <c r="N618" s="84"/>
      <c r="O618" s="84"/>
    </row>
    <row r="619" ht="14.25" customHeight="1">
      <c r="M619" s="84"/>
      <c r="N619" s="84"/>
      <c r="O619" s="84"/>
    </row>
    <row r="620" ht="14.25" customHeight="1">
      <c r="M620" s="84"/>
      <c r="N620" s="84"/>
      <c r="O620" s="84"/>
    </row>
    <row r="621" ht="14.25" customHeight="1">
      <c r="M621" s="84"/>
      <c r="N621" s="84"/>
      <c r="O621" s="84"/>
    </row>
    <row r="622" ht="14.25" customHeight="1">
      <c r="M622" s="84"/>
      <c r="N622" s="84"/>
      <c r="O622" s="84"/>
    </row>
    <row r="623" ht="14.25" customHeight="1">
      <c r="M623" s="84"/>
      <c r="N623" s="84"/>
      <c r="O623" s="84"/>
    </row>
    <row r="624" ht="14.25" customHeight="1">
      <c r="M624" s="84"/>
      <c r="N624" s="84"/>
      <c r="O624" s="84"/>
    </row>
    <row r="625" ht="14.25" customHeight="1">
      <c r="M625" s="84"/>
      <c r="N625" s="84"/>
      <c r="O625" s="84"/>
    </row>
    <row r="626" ht="14.25" customHeight="1">
      <c r="M626" s="84"/>
      <c r="N626" s="84"/>
      <c r="O626" s="84"/>
    </row>
    <row r="627" ht="14.25" customHeight="1">
      <c r="M627" s="84"/>
      <c r="N627" s="84"/>
      <c r="O627" s="84"/>
    </row>
    <row r="628" ht="14.25" customHeight="1">
      <c r="M628" s="84"/>
      <c r="N628" s="84"/>
      <c r="O628" s="84"/>
    </row>
    <row r="629" ht="14.25" customHeight="1">
      <c r="M629" s="84"/>
      <c r="N629" s="84"/>
      <c r="O629" s="84"/>
    </row>
    <row r="630" ht="14.25" customHeight="1">
      <c r="M630" s="84"/>
      <c r="N630" s="84"/>
      <c r="O630" s="84"/>
    </row>
    <row r="631" ht="14.25" customHeight="1">
      <c r="M631" s="84"/>
      <c r="N631" s="84"/>
      <c r="O631" s="84"/>
    </row>
    <row r="632" ht="14.25" customHeight="1">
      <c r="M632" s="84"/>
      <c r="N632" s="84"/>
      <c r="O632" s="84"/>
    </row>
    <row r="633" ht="14.25" customHeight="1">
      <c r="M633" s="84"/>
      <c r="N633" s="84"/>
      <c r="O633" s="84"/>
    </row>
    <row r="634" ht="14.25" customHeight="1">
      <c r="M634" s="84"/>
      <c r="N634" s="84"/>
      <c r="O634" s="84"/>
    </row>
    <row r="635" ht="14.25" customHeight="1">
      <c r="M635" s="84"/>
      <c r="N635" s="84"/>
      <c r="O635" s="84"/>
    </row>
    <row r="636" ht="14.25" customHeight="1">
      <c r="M636" s="84"/>
      <c r="N636" s="84"/>
      <c r="O636" s="84"/>
    </row>
    <row r="637" ht="14.25" customHeight="1">
      <c r="M637" s="84"/>
      <c r="N637" s="84"/>
      <c r="O637" s="84"/>
    </row>
    <row r="638" ht="14.25" customHeight="1">
      <c r="M638" s="84"/>
      <c r="N638" s="84"/>
      <c r="O638" s="84"/>
    </row>
    <row r="639" ht="14.25" customHeight="1">
      <c r="M639" s="84"/>
      <c r="N639" s="84"/>
      <c r="O639" s="84"/>
    </row>
    <row r="640" ht="14.25" customHeight="1">
      <c r="M640" s="84"/>
      <c r="N640" s="84"/>
      <c r="O640" s="84"/>
    </row>
    <row r="641" ht="14.25" customHeight="1">
      <c r="M641" s="84"/>
      <c r="N641" s="84"/>
      <c r="O641" s="84"/>
    </row>
    <row r="642" ht="14.25" customHeight="1">
      <c r="M642" s="84"/>
      <c r="N642" s="84"/>
      <c r="O642" s="84"/>
    </row>
    <row r="643" ht="14.25" customHeight="1">
      <c r="M643" s="84"/>
      <c r="N643" s="84"/>
      <c r="O643" s="84"/>
    </row>
    <row r="644" ht="14.25" customHeight="1">
      <c r="M644" s="84"/>
      <c r="N644" s="84"/>
      <c r="O644" s="84"/>
    </row>
    <row r="645" ht="14.25" customHeight="1">
      <c r="M645" s="84"/>
      <c r="N645" s="84"/>
      <c r="O645" s="84"/>
    </row>
    <row r="646" ht="14.25" customHeight="1">
      <c r="M646" s="84"/>
      <c r="N646" s="84"/>
      <c r="O646" s="84"/>
    </row>
    <row r="647" ht="14.25" customHeight="1">
      <c r="M647" s="84"/>
      <c r="N647" s="84"/>
      <c r="O647" s="84"/>
    </row>
    <row r="648" ht="14.25" customHeight="1">
      <c r="M648" s="84"/>
      <c r="N648" s="84"/>
      <c r="O648" s="84"/>
    </row>
    <row r="649" ht="14.25" customHeight="1">
      <c r="M649" s="84"/>
      <c r="N649" s="84"/>
      <c r="O649" s="84"/>
    </row>
    <row r="650" ht="14.25" customHeight="1">
      <c r="M650" s="84"/>
      <c r="N650" s="84"/>
      <c r="O650" s="84"/>
    </row>
    <row r="651" ht="14.25" customHeight="1">
      <c r="M651" s="84"/>
      <c r="N651" s="84"/>
      <c r="O651" s="84"/>
    </row>
    <row r="652" ht="14.25" customHeight="1">
      <c r="M652" s="84"/>
      <c r="N652" s="84"/>
      <c r="O652" s="84"/>
    </row>
    <row r="653" ht="14.25" customHeight="1">
      <c r="M653" s="84"/>
      <c r="N653" s="84"/>
      <c r="O653" s="84"/>
    </row>
    <row r="654" ht="14.25" customHeight="1">
      <c r="M654" s="84"/>
      <c r="N654" s="84"/>
      <c r="O654" s="84"/>
    </row>
    <row r="655" ht="14.25" customHeight="1">
      <c r="M655" s="84"/>
      <c r="N655" s="84"/>
      <c r="O655" s="84"/>
    </row>
    <row r="656" ht="14.25" customHeight="1">
      <c r="M656" s="84"/>
      <c r="N656" s="84"/>
      <c r="O656" s="84"/>
    </row>
    <row r="657" ht="14.25" customHeight="1">
      <c r="M657" s="84"/>
      <c r="N657" s="84"/>
      <c r="O657" s="84"/>
    </row>
    <row r="658" ht="14.25" customHeight="1">
      <c r="M658" s="84"/>
      <c r="N658" s="84"/>
      <c r="O658" s="84"/>
    </row>
    <row r="659" ht="14.25" customHeight="1">
      <c r="M659" s="84"/>
      <c r="N659" s="84"/>
      <c r="O659" s="84"/>
    </row>
    <row r="660" ht="14.25" customHeight="1">
      <c r="M660" s="84"/>
      <c r="N660" s="84"/>
      <c r="O660" s="84"/>
    </row>
    <row r="661" ht="14.25" customHeight="1">
      <c r="M661" s="84"/>
      <c r="N661" s="84"/>
      <c r="O661" s="84"/>
    </row>
    <row r="662" ht="14.25" customHeight="1">
      <c r="M662" s="84"/>
      <c r="N662" s="84"/>
      <c r="O662" s="84"/>
    </row>
    <row r="663" ht="14.25" customHeight="1">
      <c r="M663" s="84"/>
      <c r="N663" s="84"/>
      <c r="O663" s="84"/>
    </row>
    <row r="664" ht="14.25" customHeight="1">
      <c r="M664" s="84"/>
      <c r="N664" s="84"/>
      <c r="O664" s="84"/>
    </row>
    <row r="665" ht="14.25" customHeight="1">
      <c r="M665" s="84"/>
      <c r="N665" s="84"/>
      <c r="O665" s="84"/>
    </row>
    <row r="666" ht="14.25" customHeight="1">
      <c r="M666" s="84"/>
      <c r="N666" s="84"/>
      <c r="O666" s="84"/>
    </row>
    <row r="667" ht="14.25" customHeight="1">
      <c r="M667" s="84"/>
      <c r="N667" s="84"/>
      <c r="O667" s="84"/>
    </row>
    <row r="668" ht="14.25" customHeight="1">
      <c r="M668" s="84"/>
      <c r="N668" s="84"/>
      <c r="O668" s="84"/>
    </row>
    <row r="669" ht="14.25" customHeight="1">
      <c r="M669" s="84"/>
      <c r="N669" s="84"/>
      <c r="O669" s="84"/>
    </row>
    <row r="670" ht="14.25" customHeight="1">
      <c r="M670" s="84"/>
      <c r="N670" s="84"/>
      <c r="O670" s="84"/>
    </row>
    <row r="671" ht="14.25" customHeight="1">
      <c r="M671" s="84"/>
      <c r="N671" s="84"/>
      <c r="O671" s="84"/>
    </row>
    <row r="672" ht="14.25" customHeight="1">
      <c r="M672" s="84"/>
      <c r="N672" s="84"/>
      <c r="O672" s="84"/>
    </row>
    <row r="673" ht="14.25" customHeight="1">
      <c r="M673" s="84"/>
      <c r="N673" s="84"/>
      <c r="O673" s="84"/>
    </row>
    <row r="674" ht="14.25" customHeight="1">
      <c r="M674" s="84"/>
      <c r="N674" s="84"/>
      <c r="O674" s="84"/>
    </row>
    <row r="675" ht="14.25" customHeight="1">
      <c r="M675" s="84"/>
      <c r="N675" s="84"/>
      <c r="O675" s="84"/>
    </row>
    <row r="676" ht="14.25" customHeight="1">
      <c r="M676" s="84"/>
      <c r="N676" s="84"/>
      <c r="O676" s="84"/>
    </row>
    <row r="677" ht="14.25" customHeight="1">
      <c r="M677" s="84"/>
      <c r="N677" s="84"/>
      <c r="O677" s="84"/>
    </row>
    <row r="678" ht="14.25" customHeight="1">
      <c r="M678" s="84"/>
      <c r="N678" s="84"/>
      <c r="O678" s="84"/>
    </row>
    <row r="679" ht="14.25" customHeight="1">
      <c r="M679" s="84"/>
      <c r="N679" s="84"/>
      <c r="O679" s="84"/>
    </row>
    <row r="680" ht="14.25" customHeight="1">
      <c r="M680" s="84"/>
      <c r="N680" s="84"/>
      <c r="O680" s="84"/>
    </row>
    <row r="681" ht="14.25" customHeight="1">
      <c r="M681" s="84"/>
      <c r="N681" s="84"/>
      <c r="O681" s="84"/>
    </row>
    <row r="682" ht="14.25" customHeight="1">
      <c r="M682" s="84"/>
      <c r="N682" s="84"/>
      <c r="O682" s="84"/>
    </row>
    <row r="683" ht="14.25" customHeight="1">
      <c r="M683" s="84"/>
      <c r="N683" s="84"/>
      <c r="O683" s="84"/>
    </row>
    <row r="684" ht="14.25" customHeight="1">
      <c r="M684" s="84"/>
      <c r="N684" s="84"/>
      <c r="O684" s="84"/>
    </row>
    <row r="685" ht="14.25" customHeight="1">
      <c r="M685" s="84"/>
      <c r="N685" s="84"/>
      <c r="O685" s="84"/>
    </row>
    <row r="686" ht="14.25" customHeight="1">
      <c r="M686" s="84"/>
      <c r="N686" s="84"/>
      <c r="O686" s="84"/>
    </row>
    <row r="687" ht="14.25" customHeight="1">
      <c r="M687" s="84"/>
      <c r="N687" s="84"/>
      <c r="O687" s="84"/>
    </row>
    <row r="688" ht="14.25" customHeight="1">
      <c r="M688" s="84"/>
      <c r="N688" s="84"/>
      <c r="O688" s="84"/>
    </row>
    <row r="689" ht="14.25" customHeight="1">
      <c r="M689" s="84"/>
      <c r="N689" s="84"/>
      <c r="O689" s="84"/>
    </row>
    <row r="690" ht="14.25" customHeight="1">
      <c r="M690" s="84"/>
      <c r="N690" s="84"/>
      <c r="O690" s="84"/>
    </row>
    <row r="691" ht="14.25" customHeight="1">
      <c r="M691" s="84"/>
      <c r="N691" s="84"/>
      <c r="O691" s="84"/>
    </row>
    <row r="692" ht="14.25" customHeight="1">
      <c r="M692" s="84"/>
      <c r="N692" s="84"/>
      <c r="O692" s="84"/>
    </row>
    <row r="693" ht="14.25" customHeight="1">
      <c r="M693" s="84"/>
      <c r="N693" s="84"/>
      <c r="O693" s="84"/>
    </row>
    <row r="694" ht="14.25" customHeight="1">
      <c r="M694" s="84"/>
      <c r="N694" s="84"/>
      <c r="O694" s="84"/>
    </row>
    <row r="695" ht="14.25" customHeight="1">
      <c r="M695" s="84"/>
      <c r="N695" s="84"/>
      <c r="O695" s="84"/>
    </row>
    <row r="696" ht="14.25" customHeight="1">
      <c r="M696" s="84"/>
      <c r="N696" s="84"/>
      <c r="O696" s="84"/>
    </row>
    <row r="697" ht="14.25" customHeight="1">
      <c r="M697" s="84"/>
      <c r="N697" s="84"/>
      <c r="O697" s="84"/>
    </row>
    <row r="698" ht="14.25" customHeight="1">
      <c r="M698" s="84"/>
      <c r="N698" s="84"/>
      <c r="O698" s="84"/>
    </row>
    <row r="699" ht="14.25" customHeight="1">
      <c r="M699" s="84"/>
      <c r="N699" s="84"/>
      <c r="O699" s="84"/>
    </row>
    <row r="700" ht="14.25" customHeight="1">
      <c r="M700" s="84"/>
      <c r="N700" s="84"/>
      <c r="O700" s="84"/>
    </row>
    <row r="701" ht="14.25" customHeight="1">
      <c r="M701" s="84"/>
      <c r="N701" s="84"/>
      <c r="O701" s="84"/>
    </row>
    <row r="702" ht="14.25" customHeight="1">
      <c r="M702" s="84"/>
      <c r="N702" s="84"/>
      <c r="O702" s="84"/>
    </row>
    <row r="703" ht="14.25" customHeight="1">
      <c r="M703" s="84"/>
      <c r="N703" s="84"/>
      <c r="O703" s="84"/>
    </row>
    <row r="704" ht="14.25" customHeight="1">
      <c r="M704" s="84"/>
      <c r="N704" s="84"/>
      <c r="O704" s="84"/>
    </row>
    <row r="705" ht="14.25" customHeight="1">
      <c r="M705" s="84"/>
      <c r="N705" s="84"/>
      <c r="O705" s="84"/>
    </row>
    <row r="706" ht="14.25" customHeight="1">
      <c r="M706" s="84"/>
      <c r="N706" s="84"/>
      <c r="O706" s="84"/>
    </row>
    <row r="707" ht="14.25" customHeight="1">
      <c r="M707" s="84"/>
      <c r="N707" s="84"/>
      <c r="O707" s="84"/>
    </row>
    <row r="708" ht="14.25" customHeight="1">
      <c r="M708" s="84"/>
      <c r="N708" s="84"/>
      <c r="O708" s="84"/>
    </row>
    <row r="709" ht="14.25" customHeight="1">
      <c r="M709" s="84"/>
      <c r="N709" s="84"/>
      <c r="O709" s="84"/>
    </row>
    <row r="710" ht="14.25" customHeight="1">
      <c r="M710" s="84"/>
      <c r="N710" s="84"/>
      <c r="O710" s="84"/>
    </row>
    <row r="711" ht="14.25" customHeight="1">
      <c r="M711" s="84"/>
      <c r="N711" s="84"/>
      <c r="O711" s="84"/>
    </row>
    <row r="712" ht="14.25" customHeight="1">
      <c r="M712" s="84"/>
      <c r="N712" s="84"/>
      <c r="O712" s="84"/>
    </row>
    <row r="713" ht="14.25" customHeight="1">
      <c r="M713" s="84"/>
      <c r="N713" s="84"/>
      <c r="O713" s="84"/>
    </row>
    <row r="714" ht="14.25" customHeight="1">
      <c r="M714" s="84"/>
      <c r="N714" s="84"/>
      <c r="O714" s="84"/>
    </row>
    <row r="715" ht="14.25" customHeight="1">
      <c r="M715" s="84"/>
      <c r="N715" s="84"/>
      <c r="O715" s="84"/>
    </row>
    <row r="716" ht="14.25" customHeight="1">
      <c r="M716" s="84"/>
      <c r="N716" s="84"/>
      <c r="O716" s="84"/>
    </row>
    <row r="717" ht="14.25" customHeight="1">
      <c r="M717" s="84"/>
      <c r="N717" s="84"/>
      <c r="O717" s="84"/>
    </row>
    <row r="718" ht="14.25" customHeight="1">
      <c r="M718" s="84"/>
      <c r="N718" s="84"/>
      <c r="O718" s="84"/>
    </row>
    <row r="719" ht="14.25" customHeight="1">
      <c r="M719" s="84"/>
      <c r="N719" s="84"/>
      <c r="O719" s="84"/>
    </row>
    <row r="720" ht="14.25" customHeight="1">
      <c r="M720" s="84"/>
      <c r="N720" s="84"/>
      <c r="O720" s="84"/>
    </row>
    <row r="721" ht="14.25" customHeight="1">
      <c r="M721" s="84"/>
      <c r="N721" s="84"/>
      <c r="O721" s="84"/>
    </row>
    <row r="722" ht="14.25" customHeight="1">
      <c r="M722" s="84"/>
      <c r="N722" s="84"/>
      <c r="O722" s="84"/>
    </row>
    <row r="723" ht="14.25" customHeight="1">
      <c r="M723" s="84"/>
      <c r="N723" s="84"/>
      <c r="O723" s="84"/>
    </row>
    <row r="724" ht="14.25" customHeight="1">
      <c r="M724" s="84"/>
      <c r="N724" s="84"/>
      <c r="O724" s="84"/>
    </row>
    <row r="725" ht="14.25" customHeight="1">
      <c r="M725" s="84"/>
      <c r="N725" s="84"/>
      <c r="O725" s="84"/>
    </row>
    <row r="726" ht="14.25" customHeight="1">
      <c r="M726" s="84"/>
      <c r="N726" s="84"/>
      <c r="O726" s="84"/>
    </row>
    <row r="727" ht="14.25" customHeight="1">
      <c r="M727" s="84"/>
      <c r="N727" s="84"/>
      <c r="O727" s="84"/>
    </row>
    <row r="728" ht="14.25" customHeight="1">
      <c r="M728" s="84"/>
      <c r="N728" s="84"/>
      <c r="O728" s="84"/>
    </row>
    <row r="729" ht="14.25" customHeight="1">
      <c r="M729" s="84"/>
      <c r="N729" s="84"/>
      <c r="O729" s="84"/>
    </row>
    <row r="730" ht="14.25" customHeight="1">
      <c r="M730" s="84"/>
      <c r="N730" s="84"/>
      <c r="O730" s="84"/>
    </row>
    <row r="731" ht="14.25" customHeight="1">
      <c r="M731" s="84"/>
      <c r="N731" s="84"/>
      <c r="O731" s="84"/>
    </row>
    <row r="732" ht="14.25" customHeight="1">
      <c r="M732" s="84"/>
      <c r="N732" s="84"/>
      <c r="O732" s="84"/>
    </row>
    <row r="733" ht="14.25" customHeight="1">
      <c r="M733" s="84"/>
      <c r="N733" s="84"/>
      <c r="O733" s="84"/>
    </row>
    <row r="734" ht="14.25" customHeight="1">
      <c r="M734" s="84"/>
      <c r="N734" s="84"/>
      <c r="O734" s="84"/>
    </row>
    <row r="735" ht="14.25" customHeight="1">
      <c r="M735" s="84"/>
      <c r="N735" s="84"/>
      <c r="O735" s="84"/>
    </row>
    <row r="736" ht="14.25" customHeight="1">
      <c r="M736" s="84"/>
      <c r="N736" s="84"/>
      <c r="O736" s="84"/>
    </row>
    <row r="737" ht="14.25" customHeight="1">
      <c r="M737" s="84"/>
      <c r="N737" s="84"/>
      <c r="O737" s="84"/>
    </row>
    <row r="738" ht="14.25" customHeight="1">
      <c r="M738" s="84"/>
      <c r="N738" s="84"/>
      <c r="O738" s="84"/>
    </row>
    <row r="739" ht="14.25" customHeight="1">
      <c r="M739" s="84"/>
      <c r="N739" s="84"/>
      <c r="O739" s="84"/>
    </row>
    <row r="740" ht="14.25" customHeight="1">
      <c r="M740" s="84"/>
      <c r="N740" s="84"/>
      <c r="O740" s="84"/>
    </row>
    <row r="741" ht="14.25" customHeight="1">
      <c r="M741" s="84"/>
      <c r="N741" s="84"/>
      <c r="O741" s="84"/>
    </row>
    <row r="742" ht="14.25" customHeight="1">
      <c r="M742" s="84"/>
      <c r="N742" s="84"/>
      <c r="O742" s="84"/>
    </row>
    <row r="743" ht="14.25" customHeight="1">
      <c r="M743" s="84"/>
      <c r="N743" s="84"/>
      <c r="O743" s="84"/>
    </row>
    <row r="744" ht="14.25" customHeight="1">
      <c r="M744" s="84"/>
      <c r="N744" s="84"/>
      <c r="O744" s="84"/>
    </row>
    <row r="745" ht="14.25" customHeight="1">
      <c r="M745" s="84"/>
      <c r="N745" s="84"/>
      <c r="O745" s="84"/>
    </row>
    <row r="746" ht="14.25" customHeight="1">
      <c r="M746" s="84"/>
      <c r="N746" s="84"/>
      <c r="O746" s="84"/>
    </row>
    <row r="747" ht="14.25" customHeight="1">
      <c r="M747" s="84"/>
      <c r="N747" s="84"/>
      <c r="O747" s="84"/>
    </row>
    <row r="748" ht="14.25" customHeight="1">
      <c r="M748" s="84"/>
      <c r="N748" s="84"/>
      <c r="O748" s="84"/>
    </row>
    <row r="749" ht="14.25" customHeight="1">
      <c r="M749" s="84"/>
      <c r="N749" s="84"/>
      <c r="O749" s="84"/>
    </row>
    <row r="750" ht="14.25" customHeight="1">
      <c r="M750" s="84"/>
      <c r="N750" s="84"/>
      <c r="O750" s="84"/>
    </row>
    <row r="751" ht="14.25" customHeight="1">
      <c r="M751" s="84"/>
      <c r="N751" s="84"/>
      <c r="O751" s="84"/>
    </row>
    <row r="752" ht="14.25" customHeight="1">
      <c r="M752" s="84"/>
      <c r="N752" s="84"/>
      <c r="O752" s="84"/>
    </row>
    <row r="753" ht="14.25" customHeight="1">
      <c r="M753" s="84"/>
      <c r="N753" s="84"/>
      <c r="O753" s="84"/>
    </row>
    <row r="754" ht="14.25" customHeight="1">
      <c r="M754" s="84"/>
      <c r="N754" s="84"/>
      <c r="O754" s="84"/>
    </row>
    <row r="755" ht="14.25" customHeight="1">
      <c r="M755" s="84"/>
      <c r="N755" s="84"/>
      <c r="O755" s="84"/>
    </row>
    <row r="756" ht="14.25" customHeight="1">
      <c r="M756" s="84"/>
      <c r="N756" s="84"/>
      <c r="O756" s="84"/>
    </row>
    <row r="757" ht="14.25" customHeight="1">
      <c r="M757" s="84"/>
      <c r="N757" s="84"/>
      <c r="O757" s="84"/>
    </row>
    <row r="758" ht="14.25" customHeight="1">
      <c r="M758" s="84"/>
      <c r="N758" s="84"/>
      <c r="O758" s="84"/>
    </row>
    <row r="759" ht="14.25" customHeight="1">
      <c r="M759" s="84"/>
      <c r="N759" s="84"/>
      <c r="O759" s="84"/>
    </row>
    <row r="760" ht="14.25" customHeight="1">
      <c r="M760" s="84"/>
      <c r="N760" s="84"/>
      <c r="O760" s="84"/>
    </row>
    <row r="761" ht="14.25" customHeight="1">
      <c r="M761" s="84"/>
      <c r="N761" s="84"/>
      <c r="O761" s="84"/>
    </row>
    <row r="762" ht="14.25" customHeight="1">
      <c r="M762" s="84"/>
      <c r="N762" s="84"/>
      <c r="O762" s="84"/>
    </row>
    <row r="763" ht="14.25" customHeight="1">
      <c r="M763" s="84"/>
      <c r="N763" s="84"/>
      <c r="O763" s="84"/>
    </row>
    <row r="764" ht="14.25" customHeight="1">
      <c r="M764" s="84"/>
      <c r="N764" s="84"/>
      <c r="O764" s="84"/>
    </row>
    <row r="765" ht="14.25" customHeight="1">
      <c r="M765" s="84"/>
      <c r="N765" s="84"/>
      <c r="O765" s="84"/>
    </row>
    <row r="766" ht="14.25" customHeight="1">
      <c r="M766" s="84"/>
      <c r="N766" s="84"/>
      <c r="O766" s="84"/>
    </row>
    <row r="767" ht="14.25" customHeight="1">
      <c r="M767" s="84"/>
      <c r="N767" s="84"/>
      <c r="O767" s="84"/>
    </row>
    <row r="768" ht="14.25" customHeight="1">
      <c r="M768" s="84"/>
      <c r="N768" s="84"/>
      <c r="O768" s="84"/>
    </row>
    <row r="769" ht="14.25" customHeight="1">
      <c r="M769" s="84"/>
      <c r="N769" s="84"/>
      <c r="O769" s="84"/>
    </row>
    <row r="770" ht="14.25" customHeight="1">
      <c r="M770" s="84"/>
      <c r="N770" s="84"/>
      <c r="O770" s="84"/>
    </row>
    <row r="771" ht="14.25" customHeight="1">
      <c r="M771" s="84"/>
      <c r="N771" s="84"/>
      <c r="O771" s="84"/>
    </row>
    <row r="772" ht="14.25" customHeight="1">
      <c r="M772" s="84"/>
      <c r="N772" s="84"/>
      <c r="O772" s="84"/>
    </row>
    <row r="773" ht="14.25" customHeight="1">
      <c r="M773" s="84"/>
      <c r="N773" s="84"/>
      <c r="O773" s="84"/>
    </row>
    <row r="774" ht="14.25" customHeight="1">
      <c r="M774" s="84"/>
      <c r="N774" s="84"/>
      <c r="O774" s="84"/>
    </row>
    <row r="775" ht="14.25" customHeight="1">
      <c r="M775" s="84"/>
      <c r="N775" s="84"/>
      <c r="O775" s="84"/>
    </row>
    <row r="776" ht="14.25" customHeight="1">
      <c r="M776" s="84"/>
      <c r="N776" s="84"/>
      <c r="O776" s="84"/>
    </row>
    <row r="777" ht="14.25" customHeight="1">
      <c r="M777" s="84"/>
      <c r="N777" s="84"/>
      <c r="O777" s="84"/>
    </row>
    <row r="778" ht="14.25" customHeight="1">
      <c r="M778" s="84"/>
      <c r="N778" s="84"/>
      <c r="O778" s="84"/>
    </row>
    <row r="779" ht="14.25" customHeight="1">
      <c r="M779" s="84"/>
      <c r="N779" s="84"/>
      <c r="O779" s="84"/>
    </row>
    <row r="780" ht="14.25" customHeight="1">
      <c r="M780" s="84"/>
      <c r="N780" s="84"/>
      <c r="O780" s="84"/>
    </row>
    <row r="781" ht="14.25" customHeight="1">
      <c r="M781" s="84"/>
      <c r="N781" s="84"/>
      <c r="O781" s="84"/>
    </row>
    <row r="782" ht="14.25" customHeight="1">
      <c r="M782" s="84"/>
      <c r="N782" s="84"/>
      <c r="O782" s="84"/>
    </row>
    <row r="783" ht="14.25" customHeight="1">
      <c r="M783" s="84"/>
      <c r="N783" s="84"/>
      <c r="O783" s="84"/>
    </row>
    <row r="784" ht="14.25" customHeight="1">
      <c r="M784" s="84"/>
      <c r="N784" s="84"/>
      <c r="O784" s="84"/>
    </row>
    <row r="785" ht="14.25" customHeight="1">
      <c r="M785" s="84"/>
      <c r="N785" s="84"/>
      <c r="O785" s="84"/>
    </row>
    <row r="786" ht="14.25" customHeight="1">
      <c r="M786" s="84"/>
      <c r="N786" s="84"/>
      <c r="O786" s="84"/>
    </row>
    <row r="787" ht="14.25" customHeight="1">
      <c r="M787" s="84"/>
      <c r="N787" s="84"/>
      <c r="O787" s="84"/>
    </row>
    <row r="788" ht="14.25" customHeight="1">
      <c r="M788" s="84"/>
      <c r="N788" s="84"/>
      <c r="O788" s="84"/>
    </row>
    <row r="789" ht="14.25" customHeight="1">
      <c r="M789" s="84"/>
      <c r="N789" s="84"/>
      <c r="O789" s="84"/>
    </row>
    <row r="790" ht="14.25" customHeight="1">
      <c r="M790" s="84"/>
      <c r="N790" s="84"/>
      <c r="O790" s="84"/>
    </row>
    <row r="791" ht="14.25" customHeight="1">
      <c r="M791" s="84"/>
      <c r="N791" s="84"/>
      <c r="O791" s="84"/>
    </row>
    <row r="792" ht="14.25" customHeight="1">
      <c r="M792" s="84"/>
      <c r="N792" s="84"/>
      <c r="O792" s="84"/>
    </row>
    <row r="793" ht="14.25" customHeight="1">
      <c r="M793" s="84"/>
      <c r="N793" s="84"/>
      <c r="O793" s="84"/>
    </row>
    <row r="794" ht="14.25" customHeight="1">
      <c r="M794" s="84"/>
      <c r="N794" s="84"/>
      <c r="O794" s="84"/>
    </row>
    <row r="795" ht="14.25" customHeight="1">
      <c r="M795" s="84"/>
      <c r="N795" s="84"/>
      <c r="O795" s="84"/>
    </row>
    <row r="796" ht="14.25" customHeight="1">
      <c r="M796" s="84"/>
      <c r="N796" s="84"/>
      <c r="O796" s="84"/>
    </row>
    <row r="797" ht="14.25" customHeight="1">
      <c r="M797" s="84"/>
      <c r="N797" s="84"/>
      <c r="O797" s="84"/>
    </row>
    <row r="798" ht="14.25" customHeight="1">
      <c r="M798" s="84"/>
      <c r="N798" s="84"/>
      <c r="O798" s="84"/>
    </row>
    <row r="799" ht="14.25" customHeight="1">
      <c r="M799" s="84"/>
      <c r="N799" s="84"/>
      <c r="O799" s="84"/>
    </row>
    <row r="800" ht="14.25" customHeight="1">
      <c r="M800" s="84"/>
      <c r="N800" s="84"/>
      <c r="O800" s="84"/>
    </row>
    <row r="801" ht="14.25" customHeight="1">
      <c r="M801" s="84"/>
      <c r="N801" s="84"/>
      <c r="O801" s="84"/>
    </row>
    <row r="802" ht="14.25" customHeight="1">
      <c r="M802" s="84"/>
      <c r="N802" s="84"/>
      <c r="O802" s="84"/>
    </row>
    <row r="803" ht="14.25" customHeight="1">
      <c r="M803" s="84"/>
      <c r="N803" s="84"/>
      <c r="O803" s="84"/>
    </row>
    <row r="804" ht="14.25" customHeight="1">
      <c r="M804" s="84"/>
      <c r="N804" s="84"/>
      <c r="O804" s="84"/>
    </row>
    <row r="805" ht="14.25" customHeight="1">
      <c r="M805" s="84"/>
      <c r="N805" s="84"/>
      <c r="O805" s="84"/>
    </row>
    <row r="806" ht="14.25" customHeight="1">
      <c r="M806" s="84"/>
      <c r="N806" s="84"/>
      <c r="O806" s="84"/>
    </row>
    <row r="807" ht="14.25" customHeight="1">
      <c r="M807" s="84"/>
      <c r="N807" s="84"/>
      <c r="O807" s="84"/>
    </row>
    <row r="808" ht="14.25" customHeight="1">
      <c r="M808" s="84"/>
      <c r="N808" s="84"/>
      <c r="O808" s="84"/>
    </row>
    <row r="809" ht="14.25" customHeight="1">
      <c r="M809" s="84"/>
      <c r="N809" s="84"/>
      <c r="O809" s="84"/>
    </row>
    <row r="810" ht="14.25" customHeight="1">
      <c r="M810" s="84"/>
      <c r="N810" s="84"/>
      <c r="O810" s="84"/>
    </row>
    <row r="811" ht="14.25" customHeight="1">
      <c r="M811" s="84"/>
      <c r="N811" s="84"/>
      <c r="O811" s="84"/>
    </row>
    <row r="812" ht="14.25" customHeight="1">
      <c r="M812" s="84"/>
      <c r="N812" s="84"/>
      <c r="O812" s="84"/>
    </row>
    <row r="813" ht="14.25" customHeight="1">
      <c r="M813" s="84"/>
      <c r="N813" s="84"/>
      <c r="O813" s="84"/>
    </row>
    <row r="814" ht="14.25" customHeight="1">
      <c r="M814" s="84"/>
      <c r="N814" s="84"/>
      <c r="O814" s="84"/>
    </row>
    <row r="815" ht="14.25" customHeight="1">
      <c r="M815" s="84"/>
      <c r="N815" s="84"/>
      <c r="O815" s="84"/>
    </row>
    <row r="816" ht="14.25" customHeight="1">
      <c r="M816" s="84"/>
      <c r="N816" s="84"/>
      <c r="O816" s="84"/>
    </row>
    <row r="817" ht="14.25" customHeight="1">
      <c r="M817" s="84"/>
      <c r="N817" s="84"/>
      <c r="O817" s="84"/>
    </row>
    <row r="818" ht="14.25" customHeight="1">
      <c r="M818" s="84"/>
      <c r="N818" s="84"/>
      <c r="O818" s="84"/>
    </row>
    <row r="819" ht="14.25" customHeight="1">
      <c r="M819" s="84"/>
      <c r="N819" s="84"/>
      <c r="O819" s="84"/>
    </row>
    <row r="820" ht="14.25" customHeight="1">
      <c r="M820" s="84"/>
      <c r="N820" s="84"/>
      <c r="O820" s="84"/>
    </row>
    <row r="821" ht="14.25" customHeight="1">
      <c r="M821" s="84"/>
      <c r="N821" s="84"/>
      <c r="O821" s="84"/>
    </row>
    <row r="822" ht="14.25" customHeight="1">
      <c r="M822" s="84"/>
      <c r="N822" s="84"/>
      <c r="O822" s="84"/>
    </row>
    <row r="823" ht="14.25" customHeight="1">
      <c r="M823" s="84"/>
      <c r="N823" s="84"/>
      <c r="O823" s="84"/>
    </row>
    <row r="824" ht="14.25" customHeight="1">
      <c r="M824" s="84"/>
      <c r="N824" s="84"/>
      <c r="O824" s="84"/>
    </row>
    <row r="825" ht="14.25" customHeight="1">
      <c r="M825" s="84"/>
      <c r="N825" s="84"/>
      <c r="O825" s="84"/>
    </row>
    <row r="826" ht="14.25" customHeight="1">
      <c r="M826" s="84"/>
      <c r="N826" s="84"/>
      <c r="O826" s="84"/>
    </row>
    <row r="827" ht="14.25" customHeight="1">
      <c r="M827" s="84"/>
      <c r="N827" s="84"/>
      <c r="O827" s="84"/>
    </row>
    <row r="828" ht="14.25" customHeight="1">
      <c r="M828" s="84"/>
      <c r="N828" s="84"/>
      <c r="O828" s="84"/>
    </row>
    <row r="829" ht="14.25" customHeight="1">
      <c r="M829" s="84"/>
      <c r="N829" s="84"/>
      <c r="O829" s="84"/>
    </row>
    <row r="830" ht="14.25" customHeight="1">
      <c r="M830" s="84"/>
      <c r="N830" s="84"/>
      <c r="O830" s="84"/>
    </row>
    <row r="831" ht="14.25" customHeight="1">
      <c r="M831" s="84"/>
      <c r="N831" s="84"/>
      <c r="O831" s="84"/>
    </row>
    <row r="832" ht="14.25" customHeight="1">
      <c r="M832" s="84"/>
      <c r="N832" s="84"/>
      <c r="O832" s="84"/>
    </row>
    <row r="833" ht="14.25" customHeight="1">
      <c r="M833" s="84"/>
      <c r="N833" s="84"/>
      <c r="O833" s="84"/>
    </row>
    <row r="834" ht="14.25" customHeight="1">
      <c r="M834" s="84"/>
      <c r="N834" s="84"/>
      <c r="O834" s="84"/>
    </row>
    <row r="835" ht="14.25" customHeight="1">
      <c r="M835" s="84"/>
      <c r="N835" s="84"/>
      <c r="O835" s="84"/>
    </row>
    <row r="836" ht="14.25" customHeight="1">
      <c r="M836" s="84"/>
      <c r="N836" s="84"/>
      <c r="O836" s="84"/>
    </row>
    <row r="837" ht="14.25" customHeight="1">
      <c r="M837" s="84"/>
      <c r="N837" s="84"/>
      <c r="O837" s="84"/>
    </row>
    <row r="838" ht="14.25" customHeight="1">
      <c r="M838" s="84"/>
      <c r="N838" s="84"/>
      <c r="O838" s="84"/>
    </row>
    <row r="839" ht="14.25" customHeight="1">
      <c r="M839" s="84"/>
      <c r="N839" s="84"/>
      <c r="O839" s="84"/>
    </row>
    <row r="840" ht="14.25" customHeight="1">
      <c r="M840" s="84"/>
      <c r="N840" s="84"/>
      <c r="O840" s="84"/>
    </row>
    <row r="841" ht="14.25" customHeight="1">
      <c r="M841" s="84"/>
      <c r="N841" s="84"/>
      <c r="O841" s="84"/>
    </row>
    <row r="842" ht="14.25" customHeight="1">
      <c r="M842" s="84"/>
      <c r="N842" s="84"/>
      <c r="O842" s="84"/>
    </row>
    <row r="843" ht="14.25" customHeight="1">
      <c r="M843" s="84"/>
      <c r="N843" s="84"/>
      <c r="O843" s="84"/>
    </row>
    <row r="844" ht="14.25" customHeight="1">
      <c r="M844" s="84"/>
      <c r="N844" s="84"/>
      <c r="O844" s="84"/>
    </row>
    <row r="845" ht="14.25" customHeight="1">
      <c r="M845" s="84"/>
      <c r="N845" s="84"/>
      <c r="O845" s="84"/>
    </row>
    <row r="846" ht="14.25" customHeight="1">
      <c r="M846" s="84"/>
      <c r="N846" s="84"/>
      <c r="O846" s="84"/>
    </row>
    <row r="847" ht="14.25" customHeight="1">
      <c r="M847" s="84"/>
      <c r="N847" s="84"/>
      <c r="O847" s="84"/>
    </row>
    <row r="848" ht="14.25" customHeight="1">
      <c r="M848" s="84"/>
      <c r="N848" s="84"/>
      <c r="O848" s="84"/>
    </row>
    <row r="849" ht="14.25" customHeight="1">
      <c r="M849" s="84"/>
      <c r="N849" s="84"/>
      <c r="O849" s="84"/>
    </row>
    <row r="850" ht="14.25" customHeight="1">
      <c r="M850" s="84"/>
      <c r="N850" s="84"/>
      <c r="O850" s="84"/>
    </row>
    <row r="851" ht="14.25" customHeight="1">
      <c r="M851" s="84"/>
      <c r="N851" s="84"/>
      <c r="O851" s="84"/>
    </row>
    <row r="852" ht="14.25" customHeight="1">
      <c r="M852" s="84"/>
      <c r="N852" s="84"/>
      <c r="O852" s="84"/>
    </row>
    <row r="853" ht="14.25" customHeight="1">
      <c r="M853" s="84"/>
      <c r="N853" s="84"/>
      <c r="O853" s="84"/>
    </row>
    <row r="854" ht="14.25" customHeight="1">
      <c r="M854" s="84"/>
      <c r="N854" s="84"/>
      <c r="O854" s="84"/>
    </row>
    <row r="855" ht="14.25" customHeight="1">
      <c r="M855" s="84"/>
      <c r="N855" s="84"/>
      <c r="O855" s="84"/>
    </row>
    <row r="856" ht="14.25" customHeight="1">
      <c r="M856" s="84"/>
      <c r="N856" s="84"/>
      <c r="O856" s="84"/>
    </row>
    <row r="857" ht="14.25" customHeight="1">
      <c r="M857" s="84"/>
      <c r="N857" s="84"/>
      <c r="O857" s="84"/>
    </row>
    <row r="858" ht="14.25" customHeight="1">
      <c r="M858" s="84"/>
      <c r="N858" s="84"/>
      <c r="O858" s="84"/>
    </row>
    <row r="859" ht="14.25" customHeight="1">
      <c r="M859" s="84"/>
      <c r="N859" s="84"/>
      <c r="O859" s="84"/>
    </row>
    <row r="860" ht="14.25" customHeight="1">
      <c r="M860" s="84"/>
      <c r="N860" s="84"/>
      <c r="O860" s="84"/>
    </row>
    <row r="861" ht="14.25" customHeight="1">
      <c r="M861" s="84"/>
      <c r="N861" s="84"/>
      <c r="O861" s="84"/>
    </row>
    <row r="862" ht="14.25" customHeight="1">
      <c r="M862" s="84"/>
      <c r="N862" s="84"/>
      <c r="O862" s="84"/>
    </row>
    <row r="863" ht="14.25" customHeight="1">
      <c r="M863" s="84"/>
      <c r="N863" s="84"/>
      <c r="O863" s="84"/>
    </row>
    <row r="864" ht="14.25" customHeight="1">
      <c r="M864" s="84"/>
      <c r="N864" s="84"/>
      <c r="O864" s="84"/>
    </row>
    <row r="865" ht="14.25" customHeight="1">
      <c r="M865" s="84"/>
      <c r="N865" s="84"/>
      <c r="O865" s="84"/>
    </row>
    <row r="866" ht="14.25" customHeight="1">
      <c r="M866" s="84"/>
      <c r="N866" s="84"/>
      <c r="O866" s="84"/>
    </row>
    <row r="867" ht="14.25" customHeight="1">
      <c r="M867" s="84"/>
      <c r="N867" s="84"/>
      <c r="O867" s="84"/>
    </row>
    <row r="868" ht="14.25" customHeight="1">
      <c r="M868" s="84"/>
      <c r="N868" s="84"/>
      <c r="O868" s="84"/>
    </row>
    <row r="869" ht="14.25" customHeight="1">
      <c r="M869" s="84"/>
      <c r="N869" s="84"/>
      <c r="O869" s="84"/>
    </row>
    <row r="870" ht="14.25" customHeight="1">
      <c r="M870" s="84"/>
      <c r="N870" s="84"/>
      <c r="O870" s="84"/>
    </row>
    <row r="871" ht="14.25" customHeight="1">
      <c r="M871" s="84"/>
      <c r="N871" s="84"/>
      <c r="O871" s="84"/>
    </row>
    <row r="872" ht="14.25" customHeight="1">
      <c r="M872" s="84"/>
      <c r="N872" s="84"/>
      <c r="O872" s="84"/>
    </row>
    <row r="873" ht="14.25" customHeight="1">
      <c r="M873" s="84"/>
      <c r="N873" s="84"/>
      <c r="O873" s="84"/>
    </row>
    <row r="874" ht="14.25" customHeight="1">
      <c r="M874" s="84"/>
      <c r="N874" s="84"/>
      <c r="O874" s="84"/>
    </row>
    <row r="875" ht="14.25" customHeight="1">
      <c r="M875" s="84"/>
      <c r="N875" s="84"/>
      <c r="O875" s="84"/>
    </row>
    <row r="876" ht="14.25" customHeight="1">
      <c r="M876" s="84"/>
      <c r="N876" s="84"/>
      <c r="O876" s="84"/>
    </row>
    <row r="877" ht="14.25" customHeight="1">
      <c r="M877" s="84"/>
      <c r="N877" s="84"/>
      <c r="O877" s="84"/>
    </row>
    <row r="878" ht="14.25" customHeight="1">
      <c r="M878" s="84"/>
      <c r="N878" s="84"/>
      <c r="O878" s="84"/>
    </row>
    <row r="879" ht="14.25" customHeight="1">
      <c r="M879" s="84"/>
      <c r="N879" s="84"/>
      <c r="O879" s="84"/>
    </row>
    <row r="880" ht="14.25" customHeight="1">
      <c r="M880" s="84"/>
      <c r="N880" s="84"/>
      <c r="O880" s="84"/>
    </row>
    <row r="881" ht="14.25" customHeight="1">
      <c r="M881" s="84"/>
      <c r="N881" s="84"/>
      <c r="O881" s="84"/>
    </row>
    <row r="882" ht="14.25" customHeight="1">
      <c r="M882" s="84"/>
      <c r="N882" s="84"/>
      <c r="O882" s="84"/>
    </row>
    <row r="883" ht="14.25" customHeight="1">
      <c r="M883" s="84"/>
      <c r="N883" s="84"/>
      <c r="O883" s="84"/>
    </row>
    <row r="884" ht="14.25" customHeight="1">
      <c r="M884" s="84"/>
      <c r="N884" s="84"/>
      <c r="O884" s="84"/>
    </row>
    <row r="885" ht="14.25" customHeight="1">
      <c r="M885" s="84"/>
      <c r="N885" s="84"/>
      <c r="O885" s="84"/>
    </row>
    <row r="886" ht="14.25" customHeight="1">
      <c r="M886" s="84"/>
      <c r="N886" s="84"/>
      <c r="O886" s="84"/>
    </row>
    <row r="887" ht="14.25" customHeight="1">
      <c r="M887" s="84"/>
      <c r="N887" s="84"/>
      <c r="O887" s="84"/>
    </row>
    <row r="888" ht="14.25" customHeight="1">
      <c r="M888" s="84"/>
      <c r="N888" s="84"/>
      <c r="O888" s="84"/>
    </row>
    <row r="889" ht="14.25" customHeight="1">
      <c r="M889" s="84"/>
      <c r="N889" s="84"/>
      <c r="O889" s="84"/>
    </row>
    <row r="890" ht="14.25" customHeight="1">
      <c r="M890" s="84"/>
      <c r="N890" s="84"/>
      <c r="O890" s="84"/>
    </row>
    <row r="891" ht="14.25" customHeight="1">
      <c r="M891" s="84"/>
      <c r="N891" s="84"/>
      <c r="O891" s="84"/>
    </row>
    <row r="892" ht="14.25" customHeight="1">
      <c r="M892" s="84"/>
      <c r="N892" s="84"/>
      <c r="O892" s="84"/>
    </row>
    <row r="893" ht="14.25" customHeight="1">
      <c r="M893" s="84"/>
      <c r="N893" s="84"/>
      <c r="O893" s="84"/>
    </row>
    <row r="894" ht="14.25" customHeight="1">
      <c r="M894" s="84"/>
      <c r="N894" s="84"/>
      <c r="O894" s="84"/>
    </row>
    <row r="895" ht="14.25" customHeight="1">
      <c r="M895" s="84"/>
      <c r="N895" s="84"/>
      <c r="O895" s="84"/>
    </row>
    <row r="896" ht="14.25" customHeight="1">
      <c r="M896" s="84"/>
      <c r="N896" s="84"/>
      <c r="O896" s="84"/>
    </row>
    <row r="897" ht="14.25" customHeight="1">
      <c r="M897" s="84"/>
      <c r="N897" s="84"/>
      <c r="O897" s="84"/>
    </row>
    <row r="898" ht="14.25" customHeight="1">
      <c r="M898" s="84"/>
      <c r="N898" s="84"/>
      <c r="O898" s="84"/>
    </row>
    <row r="899" ht="14.25" customHeight="1">
      <c r="M899" s="84"/>
      <c r="N899" s="84"/>
      <c r="O899" s="84"/>
    </row>
    <row r="900" ht="14.25" customHeight="1">
      <c r="M900" s="84"/>
      <c r="N900" s="84"/>
      <c r="O900" s="84"/>
    </row>
    <row r="901" ht="14.25" customHeight="1">
      <c r="M901" s="84"/>
      <c r="N901" s="84"/>
      <c r="O901" s="84"/>
    </row>
    <row r="902" ht="14.25" customHeight="1">
      <c r="M902" s="84"/>
      <c r="N902" s="84"/>
      <c r="O902" s="84"/>
    </row>
    <row r="903" ht="14.25" customHeight="1">
      <c r="M903" s="84"/>
      <c r="N903" s="84"/>
      <c r="O903" s="84"/>
    </row>
    <row r="904" ht="14.25" customHeight="1">
      <c r="M904" s="84"/>
      <c r="N904" s="84"/>
      <c r="O904" s="84"/>
    </row>
    <row r="905" ht="14.25" customHeight="1">
      <c r="M905" s="84"/>
      <c r="N905" s="84"/>
      <c r="O905" s="84"/>
    </row>
    <row r="906" ht="14.25" customHeight="1">
      <c r="M906" s="84"/>
      <c r="N906" s="84"/>
      <c r="O906" s="84"/>
    </row>
    <row r="907" ht="14.25" customHeight="1">
      <c r="M907" s="84"/>
      <c r="N907" s="84"/>
      <c r="O907" s="84"/>
    </row>
    <row r="908" ht="14.25" customHeight="1">
      <c r="M908" s="84"/>
      <c r="N908" s="84"/>
      <c r="O908" s="84"/>
    </row>
    <row r="909" ht="14.25" customHeight="1">
      <c r="M909" s="84"/>
      <c r="N909" s="84"/>
      <c r="O909" s="84"/>
    </row>
    <row r="910" ht="14.25" customHeight="1">
      <c r="M910" s="84"/>
      <c r="N910" s="84"/>
      <c r="O910" s="84"/>
    </row>
    <row r="911" ht="14.25" customHeight="1">
      <c r="M911" s="84"/>
      <c r="N911" s="84"/>
      <c r="O911" s="84"/>
    </row>
    <row r="912" ht="14.25" customHeight="1">
      <c r="M912" s="84"/>
      <c r="N912" s="84"/>
      <c r="O912" s="84"/>
    </row>
    <row r="913" ht="14.25" customHeight="1">
      <c r="M913" s="84"/>
      <c r="N913" s="84"/>
      <c r="O913" s="84"/>
    </row>
    <row r="914" ht="14.25" customHeight="1">
      <c r="M914" s="84"/>
      <c r="N914" s="84"/>
      <c r="O914" s="84"/>
    </row>
    <row r="915" ht="14.25" customHeight="1">
      <c r="M915" s="84"/>
      <c r="N915" s="84"/>
      <c r="O915" s="84"/>
    </row>
    <row r="916" ht="14.25" customHeight="1">
      <c r="M916" s="84"/>
      <c r="N916" s="84"/>
      <c r="O916" s="84"/>
    </row>
    <row r="917" ht="14.25" customHeight="1">
      <c r="M917" s="84"/>
      <c r="N917" s="84"/>
      <c r="O917" s="84"/>
    </row>
    <row r="918" ht="14.25" customHeight="1">
      <c r="M918" s="84"/>
      <c r="N918" s="84"/>
      <c r="O918" s="84"/>
    </row>
    <row r="919" ht="14.25" customHeight="1">
      <c r="M919" s="84"/>
      <c r="N919" s="84"/>
      <c r="O919" s="84"/>
    </row>
    <row r="920" ht="14.25" customHeight="1">
      <c r="M920" s="84"/>
      <c r="N920" s="84"/>
      <c r="O920" s="84"/>
    </row>
    <row r="921" ht="14.25" customHeight="1">
      <c r="M921" s="84"/>
      <c r="N921" s="84"/>
      <c r="O921" s="84"/>
    </row>
    <row r="922" ht="14.25" customHeight="1">
      <c r="M922" s="84"/>
      <c r="N922" s="84"/>
      <c r="O922" s="84"/>
    </row>
    <row r="923" ht="14.25" customHeight="1">
      <c r="M923" s="84"/>
      <c r="N923" s="84"/>
      <c r="O923" s="84"/>
    </row>
    <row r="924" ht="14.25" customHeight="1">
      <c r="M924" s="84"/>
      <c r="N924" s="84"/>
      <c r="O924" s="84"/>
    </row>
    <row r="925" ht="14.25" customHeight="1">
      <c r="M925" s="84"/>
      <c r="N925" s="84"/>
      <c r="O925" s="84"/>
    </row>
    <row r="926" ht="14.25" customHeight="1">
      <c r="M926" s="84"/>
      <c r="N926" s="84"/>
      <c r="O926" s="84"/>
    </row>
    <row r="927" ht="14.25" customHeight="1">
      <c r="M927" s="84"/>
      <c r="N927" s="84"/>
      <c r="O927" s="84"/>
    </row>
    <row r="928" ht="14.25" customHeight="1">
      <c r="M928" s="84"/>
      <c r="N928" s="84"/>
      <c r="O928" s="84"/>
    </row>
    <row r="929" ht="14.25" customHeight="1">
      <c r="M929" s="84"/>
      <c r="N929" s="84"/>
      <c r="O929" s="84"/>
    </row>
    <row r="930" ht="14.25" customHeight="1">
      <c r="M930" s="84"/>
      <c r="N930" s="84"/>
      <c r="O930" s="84"/>
    </row>
    <row r="931" ht="14.25" customHeight="1">
      <c r="M931" s="84"/>
      <c r="N931" s="84"/>
      <c r="O931" s="84"/>
    </row>
    <row r="932" ht="14.25" customHeight="1">
      <c r="M932" s="84"/>
      <c r="N932" s="84"/>
      <c r="O932" s="84"/>
    </row>
    <row r="933" ht="14.25" customHeight="1">
      <c r="M933" s="84"/>
      <c r="N933" s="84"/>
      <c r="O933" s="84"/>
    </row>
    <row r="934" ht="14.25" customHeight="1">
      <c r="M934" s="84"/>
      <c r="N934" s="84"/>
      <c r="O934" s="84"/>
    </row>
    <row r="935" ht="14.25" customHeight="1">
      <c r="M935" s="84"/>
      <c r="N935" s="84"/>
      <c r="O935" s="84"/>
    </row>
    <row r="936" ht="14.25" customHeight="1">
      <c r="M936" s="84"/>
      <c r="N936" s="84"/>
      <c r="O936" s="84"/>
    </row>
    <row r="937" ht="14.25" customHeight="1">
      <c r="M937" s="84"/>
      <c r="N937" s="84"/>
      <c r="O937" s="84"/>
    </row>
    <row r="938" ht="14.25" customHeight="1">
      <c r="M938" s="84"/>
      <c r="N938" s="84"/>
      <c r="O938" s="84"/>
    </row>
    <row r="939" ht="14.25" customHeight="1">
      <c r="M939" s="84"/>
      <c r="N939" s="84"/>
      <c r="O939" s="84"/>
    </row>
    <row r="940" ht="14.25" customHeight="1">
      <c r="M940" s="84"/>
      <c r="N940" s="84"/>
      <c r="O940" s="84"/>
    </row>
    <row r="941" ht="14.25" customHeight="1">
      <c r="M941" s="84"/>
      <c r="N941" s="84"/>
      <c r="O941" s="84"/>
    </row>
    <row r="942" ht="14.25" customHeight="1">
      <c r="M942" s="84"/>
      <c r="N942" s="84"/>
      <c r="O942" s="84"/>
    </row>
    <row r="943" ht="14.25" customHeight="1">
      <c r="M943" s="84"/>
      <c r="N943" s="84"/>
      <c r="O943" s="84"/>
    </row>
    <row r="944" ht="14.25" customHeight="1">
      <c r="M944" s="84"/>
      <c r="N944" s="84"/>
      <c r="O944" s="84"/>
    </row>
    <row r="945" ht="14.25" customHeight="1">
      <c r="M945" s="84"/>
      <c r="N945" s="84"/>
      <c r="O945" s="84"/>
    </row>
    <row r="946" ht="14.25" customHeight="1">
      <c r="M946" s="84"/>
      <c r="N946" s="84"/>
      <c r="O946" s="84"/>
    </row>
    <row r="947" ht="14.25" customHeight="1">
      <c r="M947" s="84"/>
      <c r="N947" s="84"/>
      <c r="O947" s="84"/>
    </row>
    <row r="948" ht="14.25" customHeight="1">
      <c r="M948" s="84"/>
      <c r="N948" s="84"/>
      <c r="O948" s="84"/>
    </row>
    <row r="949" ht="14.25" customHeight="1">
      <c r="M949" s="84"/>
      <c r="N949" s="84"/>
      <c r="O949" s="84"/>
    </row>
    <row r="950" ht="14.25" customHeight="1">
      <c r="M950" s="84"/>
      <c r="N950" s="84"/>
      <c r="O950" s="84"/>
    </row>
    <row r="951" ht="14.25" customHeight="1">
      <c r="M951" s="84"/>
      <c r="N951" s="84"/>
      <c r="O951" s="84"/>
    </row>
    <row r="952" ht="14.25" customHeight="1">
      <c r="M952" s="84"/>
      <c r="N952" s="84"/>
      <c r="O952" s="84"/>
    </row>
    <row r="953" ht="14.25" customHeight="1">
      <c r="M953" s="84"/>
      <c r="N953" s="84"/>
      <c r="O953" s="84"/>
    </row>
    <row r="954" ht="14.25" customHeight="1">
      <c r="M954" s="84"/>
      <c r="N954" s="84"/>
      <c r="O954" s="84"/>
    </row>
    <row r="955" ht="14.25" customHeight="1">
      <c r="M955" s="84"/>
      <c r="N955" s="84"/>
      <c r="O955" s="84"/>
    </row>
    <row r="956" ht="14.25" customHeight="1">
      <c r="M956" s="84"/>
      <c r="N956" s="84"/>
      <c r="O956" s="84"/>
    </row>
    <row r="957" ht="14.25" customHeight="1">
      <c r="M957" s="84"/>
      <c r="N957" s="84"/>
      <c r="O957" s="84"/>
    </row>
    <row r="958" ht="14.25" customHeight="1">
      <c r="M958" s="84"/>
      <c r="N958" s="84"/>
      <c r="O958" s="84"/>
    </row>
    <row r="959" ht="14.25" customHeight="1">
      <c r="M959" s="84"/>
      <c r="N959" s="84"/>
      <c r="O959" s="84"/>
    </row>
    <row r="960" ht="14.25" customHeight="1">
      <c r="M960" s="84"/>
      <c r="N960" s="84"/>
      <c r="O960" s="84"/>
    </row>
    <row r="961" ht="14.25" customHeight="1">
      <c r="M961" s="84"/>
      <c r="N961" s="84"/>
      <c r="O961" s="84"/>
    </row>
    <row r="962" ht="14.25" customHeight="1">
      <c r="M962" s="84"/>
      <c r="N962" s="84"/>
      <c r="O962" s="84"/>
    </row>
    <row r="963" ht="14.25" customHeight="1">
      <c r="M963" s="84"/>
      <c r="N963" s="84"/>
      <c r="O963" s="84"/>
    </row>
    <row r="964" ht="14.25" customHeight="1">
      <c r="M964" s="84"/>
      <c r="N964" s="84"/>
      <c r="O964" s="84"/>
    </row>
    <row r="965" ht="14.25" customHeight="1">
      <c r="M965" s="84"/>
      <c r="N965" s="84"/>
      <c r="O965" s="84"/>
    </row>
    <row r="966" ht="14.25" customHeight="1">
      <c r="M966" s="84"/>
      <c r="N966" s="84"/>
      <c r="O966" s="84"/>
    </row>
    <row r="967" ht="14.25" customHeight="1">
      <c r="M967" s="84"/>
      <c r="N967" s="84"/>
      <c r="O967" s="84"/>
    </row>
    <row r="968" ht="14.25" customHeight="1">
      <c r="M968" s="84"/>
      <c r="N968" s="84"/>
      <c r="O968" s="84"/>
    </row>
    <row r="969" ht="14.25" customHeight="1">
      <c r="M969" s="84"/>
      <c r="N969" s="84"/>
      <c r="O969" s="84"/>
    </row>
    <row r="970" ht="14.25" customHeight="1">
      <c r="M970" s="84"/>
      <c r="N970" s="84"/>
      <c r="O970" s="84"/>
    </row>
    <row r="971" ht="14.25" customHeight="1">
      <c r="M971" s="84"/>
      <c r="N971" s="84"/>
      <c r="O971" s="84"/>
    </row>
    <row r="972" ht="14.25" customHeight="1">
      <c r="M972" s="84"/>
      <c r="N972" s="84"/>
      <c r="O972" s="84"/>
    </row>
    <row r="973" ht="14.25" customHeight="1">
      <c r="M973" s="84"/>
      <c r="N973" s="84"/>
      <c r="O973" s="84"/>
    </row>
    <row r="974" ht="14.25" customHeight="1">
      <c r="M974" s="84"/>
      <c r="N974" s="84"/>
      <c r="O974" s="84"/>
    </row>
    <row r="975" ht="14.25" customHeight="1">
      <c r="M975" s="84"/>
      <c r="N975" s="84"/>
      <c r="O975" s="84"/>
    </row>
    <row r="976" ht="14.25" customHeight="1">
      <c r="M976" s="84"/>
      <c r="N976" s="84"/>
      <c r="O976" s="84"/>
    </row>
    <row r="977" ht="14.25" customHeight="1">
      <c r="M977" s="84"/>
      <c r="N977" s="84"/>
      <c r="O977" s="84"/>
    </row>
    <row r="978" ht="14.25" customHeight="1">
      <c r="M978" s="84"/>
      <c r="N978" s="84"/>
      <c r="O978" s="84"/>
    </row>
    <row r="979" ht="14.25" customHeight="1">
      <c r="M979" s="84"/>
      <c r="N979" s="84"/>
      <c r="O979" s="84"/>
    </row>
    <row r="980" ht="14.25" customHeight="1">
      <c r="M980" s="84"/>
      <c r="N980" s="84"/>
      <c r="O980" s="84"/>
    </row>
    <row r="981" ht="14.25" customHeight="1">
      <c r="M981" s="84"/>
      <c r="N981" s="84"/>
      <c r="O981" s="84"/>
    </row>
    <row r="982" ht="14.25" customHeight="1">
      <c r="M982" s="84"/>
      <c r="N982" s="84"/>
      <c r="O982" s="84"/>
    </row>
    <row r="983" ht="14.25" customHeight="1">
      <c r="M983" s="84"/>
      <c r="N983" s="84"/>
      <c r="O983" s="84"/>
    </row>
    <row r="984" ht="14.25" customHeight="1">
      <c r="M984" s="84"/>
      <c r="N984" s="84"/>
      <c r="O984" s="84"/>
    </row>
    <row r="985" ht="14.25" customHeight="1">
      <c r="M985" s="84"/>
      <c r="N985" s="84"/>
      <c r="O985" s="84"/>
    </row>
    <row r="986" ht="14.25" customHeight="1">
      <c r="M986" s="84"/>
      <c r="N986" s="84"/>
      <c r="O986" s="84"/>
    </row>
    <row r="987" ht="14.25" customHeight="1">
      <c r="M987" s="84"/>
      <c r="N987" s="84"/>
      <c r="O987" s="84"/>
    </row>
    <row r="988" ht="14.25" customHeight="1">
      <c r="M988" s="84"/>
      <c r="N988" s="84"/>
      <c r="O988" s="84"/>
    </row>
  </sheetData>
  <hyperlinks>
    <hyperlink r:id="rId1" ref="B1"/>
    <hyperlink r:id="rId2" ref="L19"/>
    <hyperlink r:id="rId3" ref="G28"/>
    <hyperlink r:id="rId4" ref="G43"/>
    <hyperlink r:id="rId5" ref="L56"/>
    <hyperlink r:id="rId6" ref="L57"/>
    <hyperlink r:id="rId7" ref="L58"/>
    <hyperlink r:id="rId8" ref="L59"/>
    <hyperlink r:id="rId9" ref="L60"/>
    <hyperlink r:id="rId10" ref="L61"/>
    <hyperlink r:id="rId11" ref="L62"/>
    <hyperlink r:id="rId12" ref="L63"/>
    <hyperlink r:id="rId13" ref="L64"/>
    <hyperlink r:id="rId14" ref="L65"/>
  </hyperlinks>
  <printOptions/>
  <pageMargins bottom="0.7519685039370079" footer="0.0" header="0.0" left="0.7007874015748032" right="0.7007874015748032" top="0.7519685039370079"/>
  <pageSetup paperSize="9" orientation="portrait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 outlineLevelRow="1"/>
  <cols>
    <col customWidth="1" min="1" max="1" width="50.43"/>
    <col customWidth="1" min="2" max="2" width="33.71"/>
    <col customWidth="1" min="3" max="3" width="32.86"/>
    <col customWidth="1" hidden="1" min="4" max="4" width="13.29"/>
    <col customWidth="1" min="5" max="6" width="40.43"/>
    <col customWidth="1" min="7" max="7" width="13.29"/>
    <col customWidth="1" min="8" max="8" width="23.29"/>
    <col customWidth="1" min="9" max="9" width="25.14"/>
    <col customWidth="1" min="10" max="11" width="43.29"/>
    <col customWidth="1" min="12" max="12" width="26.14"/>
    <col customWidth="1" min="13" max="13" width="32.29"/>
    <col customWidth="1" min="14" max="18" width="26.14"/>
    <col customWidth="1" min="19" max="19" width="29.86"/>
    <col customWidth="1" min="20" max="24" width="26.14"/>
    <col customWidth="1" min="25" max="25" width="44.29"/>
    <col customWidth="1" min="26" max="41" width="8.71"/>
  </cols>
  <sheetData>
    <row r="1" ht="14.25" customHeight="1">
      <c r="A1" s="22" t="s">
        <v>39</v>
      </c>
      <c r="B1" s="85" t="str">
        <f>Classes!B1</f>
        <v>https://data.archives.haute-garonne.fr/modeles/sacsaproces</v>
      </c>
      <c r="C1" s="25"/>
      <c r="D1" s="26"/>
      <c r="E1" s="26"/>
      <c r="F1" s="86"/>
      <c r="G1" s="25"/>
      <c r="H1" s="1"/>
      <c r="I1" s="1"/>
      <c r="J1" s="23"/>
      <c r="K1" s="23"/>
      <c r="L1" s="23"/>
      <c r="M1" s="87"/>
      <c r="N1" s="87"/>
      <c r="O1" s="87"/>
      <c r="P1" s="87"/>
      <c r="Q1" s="1"/>
      <c r="R1" s="1"/>
      <c r="S1" s="1"/>
      <c r="T1" s="1"/>
      <c r="U1" s="1"/>
      <c r="V1" s="1"/>
      <c r="W1" s="1"/>
      <c r="X1" s="1"/>
      <c r="Y1" s="88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4.25" customHeight="1">
      <c r="A2" s="23"/>
      <c r="B2" s="23"/>
      <c r="C2" s="25"/>
      <c r="D2" s="5"/>
      <c r="E2" s="26"/>
      <c r="F2" s="86"/>
      <c r="G2" s="25"/>
      <c r="H2" s="1"/>
      <c r="I2" s="1"/>
      <c r="J2" s="23"/>
      <c r="K2" s="23"/>
      <c r="L2" s="23"/>
      <c r="M2" s="87"/>
      <c r="N2" s="87"/>
      <c r="O2" s="87"/>
      <c r="P2" s="87"/>
      <c r="Q2" s="1"/>
      <c r="R2" s="1"/>
      <c r="S2" s="1"/>
      <c r="T2" s="1"/>
      <c r="U2" s="1"/>
      <c r="V2" s="1"/>
      <c r="W2" s="1"/>
      <c r="X2" s="1"/>
      <c r="Y2" s="88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4.25" customHeight="1">
      <c r="A3" s="23"/>
      <c r="B3" s="23"/>
      <c r="C3" s="25"/>
      <c r="D3" s="5"/>
      <c r="E3" s="5"/>
      <c r="F3" s="86"/>
      <c r="G3" s="25"/>
      <c r="H3" s="1"/>
      <c r="I3" s="1"/>
      <c r="J3" s="23"/>
      <c r="K3" s="23"/>
      <c r="L3" s="23"/>
      <c r="M3" s="87"/>
      <c r="N3" s="87"/>
      <c r="O3" s="87"/>
      <c r="P3" s="87"/>
      <c r="Q3" s="1"/>
      <c r="R3" s="1"/>
      <c r="S3" s="1"/>
      <c r="T3" s="1"/>
      <c r="U3" s="1"/>
      <c r="V3" s="1"/>
      <c r="W3" s="1"/>
      <c r="X3" s="1"/>
      <c r="Y3" s="88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4.25" customHeight="1">
      <c r="A4" s="23"/>
      <c r="B4" s="23"/>
      <c r="C4" s="25"/>
      <c r="D4" s="26"/>
      <c r="E4" s="26"/>
      <c r="F4" s="86"/>
      <c r="G4" s="25"/>
      <c r="H4" s="1"/>
      <c r="I4" s="1"/>
      <c r="J4" s="23"/>
      <c r="K4" s="23"/>
      <c r="L4" s="23"/>
      <c r="M4" s="87"/>
      <c r="N4" s="87"/>
      <c r="O4" s="87"/>
      <c r="P4" s="87"/>
      <c r="Q4" s="1"/>
      <c r="R4" s="1"/>
      <c r="S4" s="1"/>
      <c r="T4" s="1"/>
      <c r="U4" s="1"/>
      <c r="V4" s="1"/>
      <c r="W4" s="1"/>
      <c r="X4" s="1"/>
      <c r="Y4" s="8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4.25" customHeight="1">
      <c r="A5" s="23"/>
      <c r="B5" s="23"/>
      <c r="C5" s="25"/>
      <c r="D5" s="1"/>
      <c r="E5" s="1"/>
      <c r="F5" s="23"/>
      <c r="G5" s="25"/>
      <c r="H5" s="1"/>
      <c r="I5" s="1"/>
      <c r="J5" s="23"/>
      <c r="K5" s="23"/>
      <c r="L5" s="23"/>
      <c r="M5" s="87"/>
      <c r="N5" s="87"/>
      <c r="O5" s="87"/>
      <c r="P5" s="87"/>
      <c r="Q5" s="1"/>
      <c r="R5" s="1"/>
      <c r="S5" s="1"/>
      <c r="T5" s="1"/>
      <c r="U5" s="1"/>
      <c r="V5" s="1"/>
      <c r="W5" s="1"/>
      <c r="X5" s="1"/>
      <c r="Y5" s="88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4.25" customHeight="1">
      <c r="A6" s="89" t="s">
        <v>218</v>
      </c>
      <c r="B6" s="89" t="s">
        <v>219</v>
      </c>
      <c r="C6" s="90" t="s">
        <v>220</v>
      </c>
      <c r="D6" s="90" t="s">
        <v>221</v>
      </c>
      <c r="E6" s="91" t="s">
        <v>222</v>
      </c>
      <c r="F6" s="89" t="s">
        <v>223</v>
      </c>
      <c r="G6" s="90" t="s">
        <v>224</v>
      </c>
      <c r="H6" s="89" t="s">
        <v>225</v>
      </c>
      <c r="I6" s="89" t="s">
        <v>226</v>
      </c>
      <c r="J6" s="89" t="s">
        <v>227</v>
      </c>
      <c r="K6" s="89" t="s">
        <v>228</v>
      </c>
      <c r="L6" s="89" t="s">
        <v>229</v>
      </c>
      <c r="M6" s="90"/>
      <c r="N6" s="90" t="s">
        <v>230</v>
      </c>
      <c r="O6" s="90"/>
      <c r="P6" s="90" t="s">
        <v>231</v>
      </c>
      <c r="Q6" s="89" t="s">
        <v>232</v>
      </c>
      <c r="R6" s="89" t="s">
        <v>233</v>
      </c>
      <c r="S6" s="89"/>
      <c r="T6" s="89"/>
      <c r="U6" s="89"/>
      <c r="V6" s="89" t="s">
        <v>234</v>
      </c>
      <c r="W6" s="89"/>
      <c r="X6" s="89"/>
      <c r="Y6" s="92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</row>
    <row r="7" ht="14.25" customHeight="1">
      <c r="A7" s="34" t="s">
        <v>50</v>
      </c>
      <c r="B7" s="34" t="s">
        <v>235</v>
      </c>
      <c r="C7" s="35" t="s">
        <v>236</v>
      </c>
      <c r="D7" s="35" t="s">
        <v>237</v>
      </c>
      <c r="E7" s="34" t="s">
        <v>238</v>
      </c>
      <c r="F7" s="34" t="s">
        <v>239</v>
      </c>
      <c r="G7" s="35" t="s">
        <v>240</v>
      </c>
      <c r="H7" s="34" t="s">
        <v>241</v>
      </c>
      <c r="I7" s="34" t="s">
        <v>242</v>
      </c>
      <c r="J7" s="34" t="s">
        <v>243</v>
      </c>
      <c r="K7" s="93" t="s">
        <v>244</v>
      </c>
      <c r="L7" s="36" t="s">
        <v>245</v>
      </c>
      <c r="M7" s="36" t="s">
        <v>246</v>
      </c>
      <c r="N7" s="35" t="s">
        <v>247</v>
      </c>
      <c r="O7" s="36" t="s">
        <v>248</v>
      </c>
      <c r="P7" s="35" t="s">
        <v>249</v>
      </c>
      <c r="Q7" s="34" t="s">
        <v>250</v>
      </c>
      <c r="R7" s="34" t="s">
        <v>251</v>
      </c>
      <c r="S7" s="93" t="s">
        <v>252</v>
      </c>
      <c r="T7" s="36" t="s">
        <v>253</v>
      </c>
      <c r="U7" s="36" t="s">
        <v>254</v>
      </c>
      <c r="V7" s="34" t="s">
        <v>255</v>
      </c>
      <c r="W7" s="34" t="s">
        <v>60</v>
      </c>
      <c r="X7" s="35" t="s">
        <v>256</v>
      </c>
      <c r="Y7" s="94" t="s">
        <v>67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</row>
    <row r="8" ht="14.25" customHeight="1">
      <c r="A8" s="95" t="s">
        <v>68</v>
      </c>
      <c r="B8" s="52"/>
      <c r="C8" s="53"/>
      <c r="D8" s="52"/>
      <c r="E8" s="52"/>
      <c r="F8" s="52"/>
      <c r="G8" s="53"/>
      <c r="H8" s="53"/>
      <c r="I8" s="53"/>
      <c r="J8" s="52"/>
      <c r="K8" s="52"/>
      <c r="L8" s="52"/>
      <c r="M8" s="53"/>
      <c r="N8" s="53"/>
      <c r="O8" s="53"/>
      <c r="P8" s="53"/>
      <c r="Q8" s="52"/>
      <c r="R8" s="52"/>
      <c r="S8" s="52"/>
      <c r="T8" s="52"/>
      <c r="U8" s="52"/>
      <c r="V8" s="52"/>
      <c r="W8" s="52"/>
      <c r="X8" s="52"/>
      <c r="Y8" s="96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</row>
    <row r="9" ht="14.25" customHeight="1" outlineLevel="1">
      <c r="A9" s="43" t="str">
        <f t="shared" ref="A9:A10" si="1">CONCATENATE("sacs:",RIGHT(C9,LEN(C9)-SEARCH(":",C9)),"_", RIGHT(B9,LEN(B9)-SEARCH(":", B9)) )</f>
        <v>sacs:Cote_name</v>
      </c>
      <c r="B9" s="54" t="s">
        <v>257</v>
      </c>
      <c r="C9" s="44" t="s">
        <v>69</v>
      </c>
      <c r="D9" s="43"/>
      <c r="E9" s="54" t="s">
        <v>258</v>
      </c>
      <c r="F9" s="43"/>
      <c r="G9" s="43"/>
      <c r="H9" s="82">
        <v>1.0</v>
      </c>
      <c r="I9" s="82">
        <v>1.0</v>
      </c>
      <c r="J9" s="45" t="s">
        <v>259</v>
      </c>
      <c r="K9" s="45" t="s">
        <v>260</v>
      </c>
      <c r="L9" s="54"/>
      <c r="M9" s="43"/>
      <c r="N9" s="43"/>
      <c r="O9" s="43"/>
      <c r="P9" s="43"/>
      <c r="Q9" s="98" t="s">
        <v>261</v>
      </c>
      <c r="R9" s="56"/>
      <c r="S9" s="43"/>
      <c r="T9" s="43"/>
      <c r="U9" s="43"/>
      <c r="V9" s="43"/>
      <c r="W9" s="43"/>
      <c r="X9" s="43"/>
      <c r="Y9" s="99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</row>
    <row r="10" ht="14.25" customHeight="1" outlineLevel="1">
      <c r="A10" s="43" t="str">
        <f t="shared" si="1"/>
        <v>sacs:Cote_hasIdentifierType</v>
      </c>
      <c r="B10" s="54" t="s">
        <v>262</v>
      </c>
      <c r="C10" s="44" t="s">
        <v>69</v>
      </c>
      <c r="D10" s="43"/>
      <c r="E10" s="44" t="s">
        <v>263</v>
      </c>
      <c r="F10" s="54" t="s">
        <v>264</v>
      </c>
      <c r="G10" s="43"/>
      <c r="H10" s="82">
        <v>1.0</v>
      </c>
      <c r="I10" s="82">
        <v>1.0</v>
      </c>
      <c r="J10" s="45" t="s">
        <v>265</v>
      </c>
      <c r="K10" s="43"/>
      <c r="L10" s="54" t="s">
        <v>173</v>
      </c>
      <c r="M10" s="43"/>
      <c r="N10" s="43"/>
      <c r="O10" s="43"/>
      <c r="P10" s="43"/>
      <c r="Q10" s="43"/>
      <c r="R10" s="56"/>
      <c r="S10" s="43"/>
      <c r="T10" s="43"/>
      <c r="U10" s="43"/>
      <c r="V10" s="43"/>
      <c r="W10" s="43"/>
      <c r="X10" s="43"/>
      <c r="Y10" s="99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</row>
    <row r="11" ht="14.25" customHeight="1" outlineLevel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99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</row>
    <row r="12" ht="14.25" customHeight="1">
      <c r="A12" s="95" t="s">
        <v>79</v>
      </c>
      <c r="B12" s="52"/>
      <c r="C12" s="52"/>
      <c r="D12" s="52"/>
      <c r="E12" s="52"/>
      <c r="F12" s="52"/>
      <c r="G12" s="52"/>
      <c r="H12" s="53"/>
      <c r="I12" s="53"/>
      <c r="J12" s="52"/>
      <c r="K12" s="52"/>
      <c r="L12" s="52"/>
      <c r="M12" s="53"/>
      <c r="N12" s="53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96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</row>
    <row r="13" ht="14.25" customHeight="1" outlineLevel="1">
      <c r="A13" s="43" t="str">
        <f t="shared" ref="A13:A14" si="2">CONCATENATE("sacs:",RIGHT(C13,LEN(C13)-SEARCH(":",C13)),"_", RIGHT(B13,LEN(B13)-SEARCH(":", B13)) )</f>
        <v>sacs:Date_normalizedDateValue</v>
      </c>
      <c r="B13" s="54" t="s">
        <v>266</v>
      </c>
      <c r="C13" s="44" t="s">
        <v>80</v>
      </c>
      <c r="D13" s="43"/>
      <c r="E13" s="46" t="s">
        <v>267</v>
      </c>
      <c r="F13" s="54" t="s">
        <v>268</v>
      </c>
      <c r="G13" s="43"/>
      <c r="H13" s="82">
        <v>1.0</v>
      </c>
      <c r="I13" s="82">
        <v>1.0</v>
      </c>
      <c r="J13" s="45" t="s">
        <v>259</v>
      </c>
      <c r="K13" s="50" t="s">
        <v>269</v>
      </c>
      <c r="L13" s="43"/>
      <c r="M13" s="43"/>
      <c r="N13" s="43"/>
      <c r="O13" s="43"/>
      <c r="P13" s="43"/>
      <c r="R13" s="56"/>
      <c r="S13" s="43"/>
      <c r="T13" s="43"/>
      <c r="U13" s="43"/>
      <c r="V13" s="43"/>
      <c r="W13" s="43"/>
      <c r="X13" s="43"/>
      <c r="Y13" s="99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</row>
    <row r="14" ht="14.25" customHeight="1" outlineLevel="1">
      <c r="A14" s="43" t="str">
        <f t="shared" si="2"/>
        <v>sacs:Date_expressedDate</v>
      </c>
      <c r="B14" s="54" t="s">
        <v>270</v>
      </c>
      <c r="C14" s="44" t="s">
        <v>80</v>
      </c>
      <c r="D14" s="43"/>
      <c r="E14" s="46" t="s">
        <v>271</v>
      </c>
      <c r="F14" s="54" t="s">
        <v>272</v>
      </c>
      <c r="G14" s="43"/>
      <c r="H14" s="82">
        <v>1.0</v>
      </c>
      <c r="I14" s="82">
        <v>1.0</v>
      </c>
      <c r="J14" s="45" t="s">
        <v>259</v>
      </c>
      <c r="K14" s="50" t="s">
        <v>273</v>
      </c>
      <c r="L14" s="43"/>
      <c r="M14" s="43"/>
      <c r="N14" s="43"/>
      <c r="O14" s="43"/>
      <c r="P14" s="43"/>
      <c r="Q14" s="98" t="s">
        <v>261</v>
      </c>
      <c r="R14" s="56"/>
      <c r="S14" s="43"/>
      <c r="T14" s="43"/>
      <c r="U14" s="43"/>
      <c r="V14" s="43"/>
      <c r="W14" s="43"/>
      <c r="X14" s="43"/>
      <c r="Y14" s="99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</row>
    <row r="15" ht="14.25" customHeight="1" outlineLevel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99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</row>
    <row r="16" ht="14.25" customHeight="1">
      <c r="A16" s="101" t="s">
        <v>274</v>
      </c>
      <c r="B16" s="52"/>
      <c r="C16" s="52"/>
      <c r="D16" s="52"/>
      <c r="E16" s="52"/>
      <c r="F16" s="52"/>
      <c r="G16" s="52"/>
      <c r="H16" s="53"/>
      <c r="I16" s="53"/>
      <c r="J16" s="52"/>
      <c r="K16" s="52"/>
      <c r="L16" s="52"/>
      <c r="M16" s="53"/>
      <c r="N16" s="53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96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</row>
    <row r="17" ht="14.25" customHeight="1" outlineLevel="1">
      <c r="A17" s="102" t="str">
        <f t="shared" ref="A17:A23" si="3">CONCATENATE("sacs:",RIGHT(C17,LEN(C17)-SEARCH(":",C17)),"_", RIGHT(B17,LEN(B17)-SEARCH(":", B17)) )</f>
        <v>sacs:Notice_name</v>
      </c>
      <c r="B17" s="103" t="s">
        <v>257</v>
      </c>
      <c r="C17" s="104" t="s">
        <v>88</v>
      </c>
      <c r="D17" s="102"/>
      <c r="E17" s="103" t="s">
        <v>275</v>
      </c>
      <c r="F17" s="105" t="s">
        <v>276</v>
      </c>
      <c r="G17" s="102"/>
      <c r="H17" s="106">
        <v>1.0</v>
      </c>
      <c r="I17" s="106">
        <v>1.0</v>
      </c>
      <c r="J17" s="107"/>
      <c r="K17" s="108"/>
      <c r="L17" s="102"/>
      <c r="M17" s="102"/>
      <c r="N17" s="102"/>
      <c r="O17" s="102"/>
      <c r="P17" s="102"/>
      <c r="Q17" s="109" t="s">
        <v>261</v>
      </c>
      <c r="R17" s="109"/>
      <c r="S17" s="102"/>
      <c r="T17" s="102"/>
      <c r="U17" s="102"/>
      <c r="V17" s="102"/>
      <c r="W17" s="102"/>
      <c r="X17" s="102"/>
      <c r="Y17" s="110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</row>
    <row r="18" ht="14.25" customHeight="1" outlineLevel="1">
      <c r="A18" s="43" t="str">
        <f t="shared" si="3"/>
        <v>sacs:Notice_generalDescription</v>
      </c>
      <c r="B18" s="54" t="s">
        <v>277</v>
      </c>
      <c r="C18" s="44" t="s">
        <v>88</v>
      </c>
      <c r="D18" s="43"/>
      <c r="E18" s="46" t="s">
        <v>278</v>
      </c>
      <c r="F18" s="112" t="s">
        <v>279</v>
      </c>
      <c r="G18" s="43"/>
      <c r="H18" s="82"/>
      <c r="I18" s="82">
        <v>1.0</v>
      </c>
      <c r="J18" s="45" t="s">
        <v>259</v>
      </c>
      <c r="K18" s="50" t="s">
        <v>273</v>
      </c>
      <c r="L18" s="43"/>
      <c r="M18" s="43"/>
      <c r="N18" s="43"/>
      <c r="O18" s="43"/>
      <c r="P18" s="43"/>
      <c r="R18" s="56"/>
      <c r="S18" s="43"/>
      <c r="T18" s="43"/>
      <c r="U18" s="43"/>
      <c r="V18" s="43"/>
      <c r="W18" s="43"/>
      <c r="X18" s="43"/>
      <c r="Y18" s="113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</row>
    <row r="19" ht="14.25" customHeight="1" outlineLevel="1">
      <c r="A19" s="43" t="str">
        <f t="shared" si="3"/>
        <v>sacs:Notice_recordResourceExtent</v>
      </c>
      <c r="B19" s="54" t="s">
        <v>280</v>
      </c>
      <c r="C19" s="44" t="s">
        <v>88</v>
      </c>
      <c r="D19" s="43"/>
      <c r="E19" s="46" t="s">
        <v>281</v>
      </c>
      <c r="F19" s="54" t="s">
        <v>282</v>
      </c>
      <c r="G19" s="43"/>
      <c r="H19" s="82"/>
      <c r="I19" s="82">
        <v>1.0</v>
      </c>
      <c r="J19" s="45" t="s">
        <v>259</v>
      </c>
      <c r="K19" s="45" t="s">
        <v>283</v>
      </c>
      <c r="L19" s="43"/>
      <c r="M19" s="43"/>
      <c r="N19" s="43"/>
      <c r="O19" s="43"/>
      <c r="P19" s="43"/>
      <c r="Q19" s="43"/>
      <c r="R19" s="56"/>
      <c r="S19" s="43"/>
      <c r="T19" s="43"/>
      <c r="U19" s="43"/>
      <c r="V19" s="43"/>
      <c r="W19" s="43"/>
      <c r="X19" s="43"/>
      <c r="Y19" s="99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</row>
    <row r="20" ht="14.25" customHeight="1" outlineLevel="1">
      <c r="A20" s="43" t="str">
        <f t="shared" si="3"/>
        <v>sacs:Notice_hasOrHadInstantiation</v>
      </c>
      <c r="B20" s="54" t="s">
        <v>284</v>
      </c>
      <c r="C20" s="44" t="s">
        <v>88</v>
      </c>
      <c r="D20" s="43"/>
      <c r="E20" s="47" t="s">
        <v>285</v>
      </c>
      <c r="F20" s="54" t="s">
        <v>286</v>
      </c>
      <c r="G20" s="43"/>
      <c r="H20" s="82">
        <v>1.0</v>
      </c>
      <c r="I20" s="82">
        <v>1.0</v>
      </c>
      <c r="J20" s="45" t="s">
        <v>265</v>
      </c>
      <c r="K20" s="43"/>
      <c r="L20" s="46"/>
      <c r="M20" s="46" t="s">
        <v>137</v>
      </c>
      <c r="N20" s="43"/>
      <c r="O20" s="43"/>
      <c r="P20" s="43"/>
      <c r="Q20" s="43"/>
      <c r="R20" s="56"/>
      <c r="S20" s="43"/>
      <c r="T20" s="43"/>
      <c r="U20" s="43"/>
      <c r="V20" s="43"/>
      <c r="W20" s="43"/>
      <c r="X20" s="43"/>
      <c r="Y20" s="99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</row>
    <row r="21" ht="14.25" customHeight="1" outlineLevel="1">
      <c r="A21" s="43" t="str">
        <f t="shared" si="3"/>
        <v>sacs:Notice_documents</v>
      </c>
      <c r="B21" s="54" t="s">
        <v>287</v>
      </c>
      <c r="C21" s="44" t="s">
        <v>88</v>
      </c>
      <c r="D21" s="43"/>
      <c r="E21" s="44" t="s">
        <v>288</v>
      </c>
      <c r="F21" s="54" t="s">
        <v>289</v>
      </c>
      <c r="G21" s="43"/>
      <c r="H21" s="82">
        <v>1.0</v>
      </c>
      <c r="I21" s="82">
        <v>1.0</v>
      </c>
      <c r="J21" s="45" t="s">
        <v>265</v>
      </c>
      <c r="K21" s="43"/>
      <c r="L21" s="46"/>
      <c r="M21" s="46" t="s">
        <v>131</v>
      </c>
      <c r="N21" s="43"/>
      <c r="O21" s="43"/>
      <c r="P21" s="43"/>
      <c r="Q21" s="43"/>
      <c r="R21" s="56"/>
      <c r="S21" s="43"/>
      <c r="T21" s="43"/>
      <c r="U21" s="43"/>
      <c r="V21" s="43"/>
      <c r="W21" s="43"/>
      <c r="X21" s="43"/>
      <c r="Y21" s="99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</row>
    <row r="22" ht="14.25" customHeight="1" outlineLevel="1">
      <c r="A22" s="71" t="str">
        <f t="shared" si="3"/>
        <v>sacs:Notice_hasOrganicOrFunctionalProvenance</v>
      </c>
      <c r="B22" s="68" t="s">
        <v>290</v>
      </c>
      <c r="C22" s="68" t="s">
        <v>88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114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</row>
    <row r="23" ht="14.25" customHeight="1" outlineLevel="1">
      <c r="A23" s="43" t="str">
        <f t="shared" si="3"/>
        <v>sacs:Notice_hasOrHadIdentifier</v>
      </c>
      <c r="B23" s="46" t="s">
        <v>291</v>
      </c>
      <c r="C23" s="44" t="s">
        <v>88</v>
      </c>
      <c r="D23" s="54"/>
      <c r="E23" s="46" t="s">
        <v>292</v>
      </c>
      <c r="F23" s="46" t="s">
        <v>293</v>
      </c>
      <c r="G23" s="54"/>
      <c r="H23" s="116">
        <v>1.0</v>
      </c>
      <c r="I23" s="116"/>
      <c r="J23" s="45" t="s">
        <v>265</v>
      </c>
      <c r="K23" s="54"/>
      <c r="L23" s="46" t="s">
        <v>72</v>
      </c>
      <c r="M23" s="54"/>
      <c r="N23" s="54"/>
      <c r="O23" s="43"/>
      <c r="P23" s="43"/>
      <c r="Q23" s="43"/>
      <c r="R23" s="56"/>
      <c r="S23" s="43"/>
      <c r="T23" s="43"/>
      <c r="U23" s="43"/>
      <c r="V23" s="43"/>
      <c r="W23" s="43"/>
      <c r="X23" s="43"/>
      <c r="Y23" s="99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</row>
    <row r="24" ht="14.25" customHeight="1" outlineLevel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99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</row>
    <row r="25" ht="14.25" customHeight="1">
      <c r="A25" s="95" t="s">
        <v>95</v>
      </c>
      <c r="B25" s="52"/>
      <c r="C25" s="52"/>
      <c r="D25" s="52"/>
      <c r="E25" s="52"/>
      <c r="F25" s="52"/>
      <c r="G25" s="52"/>
      <c r="H25" s="53"/>
      <c r="I25" s="53"/>
      <c r="J25" s="52"/>
      <c r="K25" s="52"/>
      <c r="L25" s="52"/>
      <c r="M25" s="53"/>
      <c r="N25" s="53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96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</row>
    <row r="26" ht="14.25" customHeight="1" outlineLevel="1">
      <c r="A26" s="102" t="str">
        <f t="shared" ref="A26:A28" si="4">CONCATENATE("sacs:",RIGHT(C26,LEN(C26)-SEARCH(":",C26)),"_", RIGHT(B26,LEN(B26)-SEARCH(":", B26)) )</f>
        <v>sacs:Fait_name</v>
      </c>
      <c r="B26" s="117" t="s">
        <v>257</v>
      </c>
      <c r="C26" s="104" t="s">
        <v>96</v>
      </c>
      <c r="D26" s="117"/>
      <c r="E26" s="103" t="s">
        <v>275</v>
      </c>
      <c r="F26" s="105" t="s">
        <v>294</v>
      </c>
      <c r="G26" s="117"/>
      <c r="H26" s="106">
        <v>1.0</v>
      </c>
      <c r="I26" s="106">
        <v>1.0</v>
      </c>
      <c r="J26" s="107" t="s">
        <v>259</v>
      </c>
      <c r="K26" s="107" t="s">
        <v>260</v>
      </c>
      <c r="L26" s="117"/>
      <c r="M26" s="102"/>
      <c r="N26" s="102"/>
      <c r="O26" s="102"/>
      <c r="P26" s="102"/>
      <c r="Q26" s="109" t="s">
        <v>261</v>
      </c>
      <c r="R26" s="109"/>
      <c r="S26" s="102"/>
      <c r="T26" s="102"/>
      <c r="U26" s="102"/>
      <c r="V26" s="102"/>
      <c r="W26" s="102"/>
      <c r="X26" s="102"/>
      <c r="Y26" s="118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</row>
    <row r="27" ht="14.25" customHeight="1" outlineLevel="1">
      <c r="A27" s="43" t="str">
        <f t="shared" si="4"/>
        <v>sacs:Fait_hasEventType</v>
      </c>
      <c r="B27" s="54" t="s">
        <v>295</v>
      </c>
      <c r="C27" s="44" t="s">
        <v>96</v>
      </c>
      <c r="D27" s="54"/>
      <c r="E27" s="46" t="s">
        <v>296</v>
      </c>
      <c r="F27" s="46" t="s">
        <v>297</v>
      </c>
      <c r="G27" s="54"/>
      <c r="H27" s="82">
        <v>1.0</v>
      </c>
      <c r="I27" s="82"/>
      <c r="J27" s="45" t="s">
        <v>265</v>
      </c>
      <c r="K27" s="54"/>
      <c r="L27" s="46" t="s">
        <v>183</v>
      </c>
      <c r="M27" s="43"/>
      <c r="N27" s="43"/>
      <c r="O27" s="43"/>
      <c r="P27" s="43"/>
      <c r="Q27" s="56"/>
      <c r="R27" s="56"/>
      <c r="S27" s="43"/>
      <c r="T27" s="43"/>
      <c r="U27" s="43"/>
      <c r="V27" s="43"/>
      <c r="W27" s="43"/>
      <c r="X27" s="43"/>
      <c r="Y27" s="99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</row>
    <row r="28" ht="14.25" customHeight="1" outlineLevel="1">
      <c r="A28" s="43" t="str">
        <f t="shared" si="4"/>
        <v>sacs:Fait_hasOrHadLocation</v>
      </c>
      <c r="B28" s="54" t="s">
        <v>298</v>
      </c>
      <c r="C28" s="44" t="s">
        <v>96</v>
      </c>
      <c r="D28" s="54"/>
      <c r="E28" s="46" t="s">
        <v>299</v>
      </c>
      <c r="F28" s="46" t="s">
        <v>300</v>
      </c>
      <c r="G28" s="54"/>
      <c r="H28" s="82">
        <v>0.0</v>
      </c>
      <c r="I28" s="82"/>
      <c r="J28" s="45" t="s">
        <v>265</v>
      </c>
      <c r="K28" s="54"/>
      <c r="L28" s="46" t="s">
        <v>126</v>
      </c>
      <c r="M28" s="43"/>
      <c r="N28" s="43"/>
      <c r="O28" s="43"/>
      <c r="P28" s="43"/>
      <c r="Q28" s="43"/>
      <c r="R28" s="56"/>
      <c r="S28" s="43"/>
      <c r="T28" s="43"/>
      <c r="U28" s="43"/>
      <c r="V28" s="43"/>
      <c r="W28" s="43"/>
      <c r="X28" s="43"/>
      <c r="Y28" s="99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</row>
    <row r="29" ht="14.25" customHeight="1" outlineLevel="1">
      <c r="A29" s="43"/>
      <c r="B29" s="54"/>
      <c r="C29" s="44"/>
      <c r="D29" s="54"/>
      <c r="E29" s="54"/>
      <c r="F29" s="54"/>
      <c r="G29" s="54"/>
      <c r="H29" s="54"/>
      <c r="I29" s="54"/>
      <c r="J29" s="54"/>
      <c r="K29" s="54"/>
      <c r="L29" s="54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99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</row>
    <row r="30" ht="14.25" customHeight="1">
      <c r="A30" s="95" t="s">
        <v>104</v>
      </c>
      <c r="B30" s="52"/>
      <c r="C30" s="52"/>
      <c r="D30" s="52"/>
      <c r="E30" s="52"/>
      <c r="F30" s="52"/>
      <c r="G30" s="52"/>
      <c r="H30" s="53"/>
      <c r="I30" s="53"/>
      <c r="J30" s="52"/>
      <c r="K30" s="52"/>
      <c r="L30" s="52"/>
      <c r="M30" s="53"/>
      <c r="N30" s="53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96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</row>
    <row r="31" ht="14.25" customHeight="1" outlineLevel="1">
      <c r="A31" s="102" t="str">
        <f t="shared" ref="A31:A35" si="5">CONCATENATE("sacs:",RIGHT(C31,LEN(C31)-SEARCH(":",C31)),"_", RIGHT(B31,LEN(B31)-SEARCH(":", B31)) )</f>
        <v>sacs:Instruction_name</v>
      </c>
      <c r="B31" s="117" t="s">
        <v>257</v>
      </c>
      <c r="C31" s="104" t="s">
        <v>105</v>
      </c>
      <c r="D31" s="117"/>
      <c r="E31" s="103" t="s">
        <v>275</v>
      </c>
      <c r="F31" s="105" t="s">
        <v>301</v>
      </c>
      <c r="G31" s="117"/>
      <c r="H31" s="106">
        <v>1.0</v>
      </c>
      <c r="I31" s="106">
        <v>1.0</v>
      </c>
      <c r="J31" s="107" t="s">
        <v>259</v>
      </c>
      <c r="K31" s="107" t="s">
        <v>260</v>
      </c>
      <c r="L31" s="117"/>
      <c r="M31" s="102"/>
      <c r="N31" s="102"/>
      <c r="O31" s="102"/>
      <c r="P31" s="102"/>
      <c r="Q31" s="109" t="s">
        <v>261</v>
      </c>
      <c r="R31" s="109"/>
      <c r="S31" s="102"/>
      <c r="T31" s="102"/>
      <c r="U31" s="102"/>
      <c r="V31" s="102"/>
      <c r="W31" s="102"/>
      <c r="X31" s="102"/>
      <c r="Y31" s="118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</row>
    <row r="32" ht="14.25" customHeight="1" outlineLevel="1">
      <c r="A32" s="43" t="str">
        <f t="shared" si="5"/>
        <v>sacs:Instruction_hasActivityType</v>
      </c>
      <c r="B32" s="46" t="s">
        <v>302</v>
      </c>
      <c r="C32" s="44" t="s">
        <v>105</v>
      </c>
      <c r="D32" s="54"/>
      <c r="E32" s="44" t="s">
        <v>303</v>
      </c>
      <c r="F32" s="46" t="s">
        <v>304</v>
      </c>
      <c r="G32" s="54"/>
      <c r="H32" s="82">
        <v>1.0</v>
      </c>
      <c r="I32" s="82">
        <v>1.0</v>
      </c>
      <c r="J32" s="45" t="s">
        <v>265</v>
      </c>
      <c r="K32" s="54"/>
      <c r="L32" s="46" t="s">
        <v>193</v>
      </c>
      <c r="N32" s="54"/>
      <c r="O32" s="119" t="s">
        <v>305</v>
      </c>
      <c r="P32" s="43"/>
      <c r="Q32" s="56"/>
      <c r="R32" s="56"/>
      <c r="S32" s="43"/>
      <c r="T32" s="43"/>
      <c r="U32" s="43"/>
      <c r="V32" s="43"/>
      <c r="W32" s="43"/>
      <c r="X32" s="43"/>
      <c r="Y32" s="99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</row>
    <row r="33" ht="14.25" customHeight="1" outlineLevel="1">
      <c r="A33" s="43" t="str">
        <f t="shared" si="5"/>
        <v>sacs:Instruction_followsInTime</v>
      </c>
      <c r="B33" s="46" t="s">
        <v>306</v>
      </c>
      <c r="C33" s="44" t="s">
        <v>105</v>
      </c>
      <c r="D33" s="54"/>
      <c r="E33" s="46" t="s">
        <v>307</v>
      </c>
      <c r="F33" s="46" t="s">
        <v>308</v>
      </c>
      <c r="G33" s="54"/>
      <c r="H33" s="82"/>
      <c r="I33" s="82">
        <v>1.0</v>
      </c>
      <c r="J33" s="45" t="s">
        <v>265</v>
      </c>
      <c r="K33" s="54"/>
      <c r="M33" s="46" t="s">
        <v>105</v>
      </c>
      <c r="N33" s="54"/>
      <c r="O33" s="43"/>
      <c r="P33" s="43"/>
      <c r="Q33" s="43"/>
      <c r="R33" s="56"/>
      <c r="S33" s="43"/>
      <c r="T33" s="43"/>
      <c r="U33" s="43"/>
      <c r="V33" s="43"/>
      <c r="W33" s="43"/>
      <c r="X33" s="43"/>
      <c r="Y33" s="99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</row>
    <row r="34" ht="14.25" customHeight="1" outlineLevel="1">
      <c r="A34" s="43" t="str">
        <f t="shared" si="5"/>
        <v>sacs:Instruction_precedesInTime</v>
      </c>
      <c r="B34" s="46" t="s">
        <v>309</v>
      </c>
      <c r="C34" s="44" t="s">
        <v>105</v>
      </c>
      <c r="D34" s="54"/>
      <c r="E34" s="46" t="s">
        <v>310</v>
      </c>
      <c r="F34" s="46" t="s">
        <v>311</v>
      </c>
      <c r="G34" s="54"/>
      <c r="H34" s="82"/>
      <c r="I34" s="82">
        <v>1.0</v>
      </c>
      <c r="J34" s="45" t="s">
        <v>265</v>
      </c>
      <c r="K34" s="54"/>
      <c r="L34" s="46"/>
      <c r="M34" s="46" t="s">
        <v>105</v>
      </c>
      <c r="N34" s="54"/>
      <c r="O34" s="43"/>
      <c r="P34" s="43"/>
      <c r="Q34" s="43"/>
      <c r="R34" s="56"/>
      <c r="S34" s="43"/>
      <c r="T34" s="43"/>
      <c r="U34" s="43"/>
      <c r="V34" s="43"/>
      <c r="W34" s="43"/>
      <c r="X34" s="43"/>
      <c r="Y34" s="99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</row>
    <row r="35" ht="14.25" customHeight="1" outlineLevel="1">
      <c r="A35" s="43" t="str">
        <f t="shared" si="5"/>
        <v>sacs:Instruction_isOrWasPerformedBy</v>
      </c>
      <c r="B35" s="46" t="s">
        <v>312</v>
      </c>
      <c r="C35" s="46" t="s">
        <v>105</v>
      </c>
      <c r="D35" s="54"/>
      <c r="E35" s="46" t="s">
        <v>313</v>
      </c>
      <c r="F35" s="46" t="s">
        <v>314</v>
      </c>
      <c r="G35" s="54"/>
      <c r="H35" s="82">
        <v>1.0</v>
      </c>
      <c r="I35" s="82">
        <v>1.0</v>
      </c>
      <c r="J35" s="45" t="s">
        <v>265</v>
      </c>
      <c r="K35" s="54"/>
      <c r="M35" s="46" t="s">
        <v>110</v>
      </c>
      <c r="N35" s="54"/>
      <c r="P35" s="43"/>
      <c r="Q35" s="43"/>
      <c r="R35" s="56"/>
      <c r="S35" s="43"/>
      <c r="T35" s="43"/>
      <c r="U35" s="43"/>
      <c r="V35" s="43"/>
      <c r="W35" s="43"/>
      <c r="X35" s="43"/>
      <c r="Y35" s="99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</row>
    <row r="36" ht="14.25" customHeight="1" outlineLevel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99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</row>
    <row r="37" ht="14.25" customHeight="1">
      <c r="A37" s="95" t="s">
        <v>109</v>
      </c>
      <c r="B37" s="52"/>
      <c r="C37" s="52"/>
      <c r="D37" s="52"/>
      <c r="E37" s="52"/>
      <c r="F37" s="52"/>
      <c r="G37" s="52"/>
      <c r="H37" s="53"/>
      <c r="I37" s="53"/>
      <c r="J37" s="52"/>
      <c r="K37" s="52"/>
      <c r="L37" s="52"/>
      <c r="M37" s="53"/>
      <c r="N37" s="53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96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</row>
    <row r="38" ht="14.25" customHeight="1" outlineLevel="1">
      <c r="A38" s="43" t="str">
        <f t="shared" ref="A38:A41" si="6">CONCATENATE("sacs:",RIGHT(C38,LEN(C38)-SEARCH(":",C38)),"_", RIGHT(B38,LEN(B38)-SEARCH(":", B38)) )</f>
        <v>sacs:Juridiction_name</v>
      </c>
      <c r="B38" s="46" t="s">
        <v>257</v>
      </c>
      <c r="C38" s="46" t="s">
        <v>110</v>
      </c>
      <c r="D38" s="54"/>
      <c r="E38" s="46" t="s">
        <v>315</v>
      </c>
      <c r="F38" s="46" t="s">
        <v>316</v>
      </c>
      <c r="G38" s="54"/>
      <c r="H38" s="82">
        <v>1.0</v>
      </c>
      <c r="I38" s="82">
        <v>1.0</v>
      </c>
      <c r="J38" s="45" t="s">
        <v>259</v>
      </c>
      <c r="K38" s="50" t="s">
        <v>273</v>
      </c>
      <c r="L38" s="54"/>
      <c r="M38" s="54"/>
      <c r="N38" s="54"/>
      <c r="O38" s="43"/>
      <c r="P38" s="43"/>
      <c r="Q38" s="98" t="s">
        <v>261</v>
      </c>
      <c r="R38" s="56"/>
      <c r="S38" s="43"/>
      <c r="T38" s="43"/>
      <c r="U38" s="43"/>
      <c r="V38" s="43"/>
      <c r="W38" s="43"/>
      <c r="X38" s="43"/>
      <c r="Y38" s="99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</row>
    <row r="39" ht="14.25" customHeight="1" outlineLevel="1">
      <c r="A39" s="43" t="str">
        <f t="shared" si="6"/>
        <v>sacs:Juridiction_hasOrHadLegalStatus</v>
      </c>
      <c r="B39" s="46" t="s">
        <v>317</v>
      </c>
      <c r="C39" s="46" t="s">
        <v>110</v>
      </c>
      <c r="D39" s="54"/>
      <c r="E39" s="46" t="s">
        <v>318</v>
      </c>
      <c r="F39" s="46" t="s">
        <v>319</v>
      </c>
      <c r="G39" s="54"/>
      <c r="H39" s="82">
        <v>1.0</v>
      </c>
      <c r="I39" s="82">
        <v>1.0</v>
      </c>
      <c r="J39" s="45" t="s">
        <v>265</v>
      </c>
      <c r="K39" s="54"/>
      <c r="L39" s="46" t="s">
        <v>167</v>
      </c>
      <c r="M39" s="54"/>
      <c r="N39" s="54"/>
      <c r="O39" s="43"/>
      <c r="P39" s="43"/>
      <c r="Q39" s="43"/>
      <c r="R39" s="56"/>
      <c r="S39" s="43"/>
      <c r="T39" s="43"/>
      <c r="U39" s="43"/>
      <c r="V39" s="43"/>
      <c r="W39" s="43"/>
      <c r="X39" s="43"/>
      <c r="Y39" s="99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</row>
    <row r="40" ht="14.25" customHeight="1" outlineLevel="1">
      <c r="A40" s="43" t="str">
        <f t="shared" si="6"/>
        <v>sacs:Juridiction_agentHasOrHadLocation</v>
      </c>
      <c r="B40" s="46" t="s">
        <v>320</v>
      </c>
      <c r="C40" s="46" t="s">
        <v>110</v>
      </c>
      <c r="D40" s="54"/>
      <c r="E40" s="120" t="s">
        <v>321</v>
      </c>
      <c r="F40" s="46" t="s">
        <v>322</v>
      </c>
      <c r="G40" s="54"/>
      <c r="H40" s="82">
        <v>1.0</v>
      </c>
      <c r="I40" s="82">
        <v>1.0</v>
      </c>
      <c r="J40" s="45" t="s">
        <v>265</v>
      </c>
      <c r="K40" s="54"/>
      <c r="L40" s="46" t="s">
        <v>126</v>
      </c>
      <c r="M40" s="54"/>
      <c r="N40" s="54"/>
      <c r="O40" s="43"/>
      <c r="P40" s="43"/>
      <c r="Q40" s="43"/>
      <c r="R40" s="56"/>
      <c r="S40" s="43"/>
      <c r="T40" s="43"/>
      <c r="U40" s="43"/>
      <c r="V40" s="43"/>
      <c r="W40" s="43"/>
      <c r="X40" s="43"/>
      <c r="Y40" s="99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</row>
    <row r="41" ht="14.25" customHeight="1" outlineLevel="1">
      <c r="A41" s="43" t="str">
        <f t="shared" si="6"/>
        <v>sacs:Juridiction_hasOrHadCorporateBodyType</v>
      </c>
      <c r="B41" s="46" t="s">
        <v>323</v>
      </c>
      <c r="C41" s="46" t="s">
        <v>110</v>
      </c>
      <c r="D41" s="43"/>
      <c r="E41" s="44" t="s">
        <v>324</v>
      </c>
      <c r="F41" s="46" t="s">
        <v>325</v>
      </c>
      <c r="G41" s="43"/>
      <c r="H41" s="44">
        <v>1.0</v>
      </c>
      <c r="I41" s="44">
        <v>1.0</v>
      </c>
      <c r="J41" s="45" t="s">
        <v>265</v>
      </c>
      <c r="K41" s="43"/>
      <c r="L41" s="46" t="s">
        <v>208</v>
      </c>
      <c r="M41" s="43"/>
      <c r="N41" s="43"/>
      <c r="O41" s="44" t="s">
        <v>326</v>
      </c>
      <c r="P41" s="43"/>
      <c r="Q41" s="43"/>
      <c r="R41" s="56"/>
      <c r="S41" s="43"/>
      <c r="T41" s="43"/>
      <c r="U41" s="43"/>
      <c r="V41" s="43"/>
      <c r="W41" s="43"/>
      <c r="X41" s="43"/>
      <c r="Y41" s="99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</row>
    <row r="42" ht="14.25" customHeight="1" outlineLevel="1">
      <c r="A42" s="43"/>
      <c r="B42" s="43"/>
      <c r="C42" s="43"/>
      <c r="D42" s="43"/>
      <c r="E42" s="43"/>
      <c r="F42" s="43"/>
      <c r="G42" s="43"/>
      <c r="H42" s="82"/>
      <c r="I42" s="82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99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</row>
    <row r="43" ht="14.25" customHeight="1">
      <c r="A43" s="95" t="s">
        <v>116</v>
      </c>
      <c r="B43" s="52"/>
      <c r="C43" s="52"/>
      <c r="D43" s="52"/>
      <c r="E43" s="52"/>
      <c r="F43" s="52"/>
      <c r="G43" s="52"/>
      <c r="H43" s="53"/>
      <c r="I43" s="53"/>
      <c r="J43" s="52"/>
      <c r="K43" s="52"/>
      <c r="L43" s="52"/>
      <c r="M43" s="53"/>
      <c r="N43" s="53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96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</row>
    <row r="44" ht="14.25" customHeight="1" outlineLevel="1">
      <c r="A44" s="43" t="str">
        <f t="shared" ref="A44:A46" si="7">CONCATENATE("sacs:",RIGHT(C44,LEN(C44)-SEARCH(":",C44)),"_", RIGHT(B44,LEN(B44)-SEARCH(":", B44)) )</f>
        <v>sacs:Liasse_hasCarrierType</v>
      </c>
      <c r="B44" s="46" t="s">
        <v>327</v>
      </c>
      <c r="C44" s="46" t="s">
        <v>117</v>
      </c>
      <c r="D44" s="54"/>
      <c r="E44" s="44" t="s">
        <v>328</v>
      </c>
      <c r="F44" s="46" t="s">
        <v>329</v>
      </c>
      <c r="G44" s="54"/>
      <c r="H44" s="82">
        <v>1.0</v>
      </c>
      <c r="I44" s="82">
        <v>1.0</v>
      </c>
      <c r="J44" s="45" t="s">
        <v>265</v>
      </c>
      <c r="K44" s="45"/>
      <c r="L44" s="46" t="s">
        <v>198</v>
      </c>
      <c r="N44" s="43"/>
      <c r="O44" s="119" t="s">
        <v>330</v>
      </c>
      <c r="P44" s="43"/>
      <c r="Q44" s="43"/>
      <c r="R44" s="56"/>
      <c r="S44" s="43"/>
      <c r="T44" s="43"/>
      <c r="U44" s="43"/>
      <c r="V44" s="43"/>
      <c r="W44" s="43"/>
      <c r="X44" s="43"/>
      <c r="Y44" s="99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</row>
    <row r="45" ht="14.25" customHeight="1" outlineLevel="1">
      <c r="A45" s="43" t="str">
        <f t="shared" si="7"/>
        <v>sacs:Liasse_title</v>
      </c>
      <c r="B45" s="46" t="s">
        <v>331</v>
      </c>
      <c r="C45" s="46" t="s">
        <v>117</v>
      </c>
      <c r="D45" s="54"/>
      <c r="E45" s="46" t="s">
        <v>332</v>
      </c>
      <c r="F45" s="46" t="s">
        <v>333</v>
      </c>
      <c r="G45" s="54"/>
      <c r="H45" s="82">
        <v>1.0</v>
      </c>
      <c r="I45" s="82">
        <v>1.0</v>
      </c>
      <c r="J45" s="45" t="s">
        <v>259</v>
      </c>
      <c r="K45" s="50" t="s">
        <v>273</v>
      </c>
      <c r="L45" s="54"/>
      <c r="M45" s="43"/>
      <c r="N45" s="43"/>
      <c r="O45" s="43"/>
      <c r="P45" s="43"/>
      <c r="Q45" s="98" t="s">
        <v>261</v>
      </c>
      <c r="R45" s="56"/>
      <c r="S45" s="43"/>
      <c r="T45" s="43"/>
      <c r="U45" s="43"/>
      <c r="V45" s="43"/>
      <c r="W45" s="43"/>
      <c r="X45" s="43"/>
      <c r="Y45" s="99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</row>
    <row r="46" ht="14.25" customHeight="1" outlineLevel="1">
      <c r="A46" s="43" t="str">
        <f t="shared" si="7"/>
        <v>sacs:Liasse_hadComponent</v>
      </c>
      <c r="B46" s="46" t="s">
        <v>334</v>
      </c>
      <c r="C46" s="46" t="s">
        <v>117</v>
      </c>
      <c r="D46" s="54"/>
      <c r="E46" s="46" t="s">
        <v>335</v>
      </c>
      <c r="F46" s="46" t="s">
        <v>336</v>
      </c>
      <c r="G46" s="54"/>
      <c r="H46" s="82">
        <v>2.0</v>
      </c>
      <c r="I46" s="82"/>
      <c r="J46" s="45" t="s">
        <v>265</v>
      </c>
      <c r="K46" s="54"/>
      <c r="M46" s="46" t="s">
        <v>137</v>
      </c>
      <c r="N46" s="43"/>
      <c r="O46" s="43"/>
      <c r="P46" s="43"/>
      <c r="Q46" s="43"/>
      <c r="R46" s="56"/>
      <c r="S46" s="43"/>
      <c r="T46" s="43"/>
      <c r="U46" s="43"/>
      <c r="V46" s="43"/>
      <c r="W46" s="43"/>
      <c r="X46" s="43"/>
      <c r="Y46" s="99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</row>
    <row r="47" ht="14.25" customHeight="1" outlineLevel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99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</row>
    <row r="48" ht="14.25" customHeight="1">
      <c r="A48" s="95" t="s">
        <v>123</v>
      </c>
      <c r="B48" s="52"/>
      <c r="C48" s="52"/>
      <c r="D48" s="52"/>
      <c r="E48" s="52"/>
      <c r="F48" s="52"/>
      <c r="G48" s="52"/>
      <c r="H48" s="53"/>
      <c r="I48" s="53"/>
      <c r="J48" s="52"/>
      <c r="K48" s="52"/>
      <c r="L48" s="52"/>
      <c r="M48" s="53"/>
      <c r="N48" s="53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96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</row>
    <row r="49" ht="14.25" customHeight="1" outlineLevel="1">
      <c r="A49" s="43" t="str">
        <f t="shared" ref="A49:A53" si="8">CONCATENATE("sacs:",RIGHT(C49,LEN(C49)-SEARCH(":",C49)),"_", RIGHT(B49,LEN(B49)-SEARCH(":", B49)) )</f>
        <v>sacs:Lieu_name</v>
      </c>
      <c r="B49" s="54" t="s">
        <v>257</v>
      </c>
      <c r="C49" s="46" t="s">
        <v>124</v>
      </c>
      <c r="D49" s="54"/>
      <c r="E49" s="46" t="s">
        <v>315</v>
      </c>
      <c r="F49" s="46" t="s">
        <v>337</v>
      </c>
      <c r="G49" s="54"/>
      <c r="H49" s="82">
        <v>1.0</v>
      </c>
      <c r="I49" s="82">
        <v>1.0</v>
      </c>
      <c r="J49" s="45" t="s">
        <v>259</v>
      </c>
      <c r="K49" s="50" t="s">
        <v>273</v>
      </c>
      <c r="L49" s="54"/>
      <c r="M49" s="54"/>
      <c r="N49" s="54"/>
      <c r="O49" s="43"/>
      <c r="P49" s="43"/>
      <c r="Q49" s="98" t="s">
        <v>261</v>
      </c>
      <c r="R49" s="56"/>
      <c r="S49" s="43"/>
      <c r="T49" s="43"/>
      <c r="U49" s="43"/>
      <c r="V49" s="43"/>
      <c r="W49" s="43"/>
      <c r="X49" s="43"/>
      <c r="Y49" s="99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</row>
    <row r="50" ht="14.25" customHeight="1" outlineLevel="1">
      <c r="A50" s="43" t="str">
        <f t="shared" si="8"/>
        <v>sacs:Lieu_hasOrHadPlaceType</v>
      </c>
      <c r="B50" s="54" t="s">
        <v>338</v>
      </c>
      <c r="C50" s="46" t="s">
        <v>124</v>
      </c>
      <c r="D50" s="54"/>
      <c r="E50" s="46" t="s">
        <v>339</v>
      </c>
      <c r="F50" s="46" t="s">
        <v>340</v>
      </c>
      <c r="G50" s="54"/>
      <c r="H50" s="82">
        <v>1.0</v>
      </c>
      <c r="I50" s="82">
        <v>1.0</v>
      </c>
      <c r="J50" s="45" t="s">
        <v>265</v>
      </c>
      <c r="K50" s="54"/>
      <c r="L50" s="46" t="s">
        <v>178</v>
      </c>
      <c r="M50" s="54"/>
      <c r="N50" s="54"/>
      <c r="O50" s="43"/>
      <c r="P50" s="43"/>
      <c r="Q50" s="43"/>
      <c r="R50" s="56"/>
      <c r="S50" s="43"/>
      <c r="T50" s="43"/>
      <c r="U50" s="43"/>
      <c r="V50" s="43"/>
      <c r="W50" s="43"/>
      <c r="X50" s="43"/>
      <c r="Y50" s="99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</row>
    <row r="51" ht="14.25" customHeight="1" outlineLevel="1">
      <c r="A51" s="43" t="str">
        <f t="shared" si="8"/>
        <v>sacs:Lieu_isDirectlyContainedBy</v>
      </c>
      <c r="B51" s="46" t="s">
        <v>341</v>
      </c>
      <c r="C51" s="46" t="s">
        <v>124</v>
      </c>
      <c r="D51" s="54"/>
      <c r="E51" s="121" t="s">
        <v>342</v>
      </c>
      <c r="F51" s="46" t="s">
        <v>343</v>
      </c>
      <c r="G51" s="54"/>
      <c r="H51" s="82"/>
      <c r="I51" s="82">
        <v>1.0</v>
      </c>
      <c r="J51" s="45" t="s">
        <v>265</v>
      </c>
      <c r="K51" s="54"/>
      <c r="L51" s="46" t="s">
        <v>126</v>
      </c>
      <c r="M51" s="54"/>
      <c r="N51" s="54"/>
      <c r="O51" s="43"/>
      <c r="P51" s="43"/>
      <c r="Q51" s="43"/>
      <c r="R51" s="56"/>
      <c r="S51" s="43"/>
      <c r="T51" s="43"/>
      <c r="U51" s="43"/>
      <c r="V51" s="43"/>
      <c r="W51" s="43"/>
      <c r="X51" s="43"/>
      <c r="Y51" s="99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</row>
    <row r="52" ht="14.25" customHeight="1" outlineLevel="1">
      <c r="A52" s="43" t="str">
        <f t="shared" si="8"/>
        <v>sacs:Lieu_directlyContains</v>
      </c>
      <c r="B52" s="46" t="s">
        <v>344</v>
      </c>
      <c r="C52" s="46" t="s">
        <v>124</v>
      </c>
      <c r="D52" s="54"/>
      <c r="E52" s="121" t="s">
        <v>345</v>
      </c>
      <c r="F52" s="46" t="s">
        <v>346</v>
      </c>
      <c r="G52" s="54"/>
      <c r="H52" s="82"/>
      <c r="I52" s="82"/>
      <c r="J52" s="45" t="s">
        <v>265</v>
      </c>
      <c r="K52" s="54"/>
      <c r="L52" s="46" t="s">
        <v>126</v>
      </c>
      <c r="M52" s="54"/>
      <c r="N52" s="54"/>
      <c r="O52" s="43"/>
      <c r="P52" s="43"/>
      <c r="Q52" s="43"/>
      <c r="R52" s="56"/>
      <c r="S52" s="43"/>
      <c r="T52" s="43"/>
      <c r="U52" s="43"/>
      <c r="V52" s="43"/>
      <c r="W52" s="43"/>
      <c r="X52" s="43"/>
      <c r="Y52" s="99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</row>
    <row r="53" ht="14.25" customHeight="1" outlineLevel="1">
      <c r="A53" s="43" t="str">
        <f t="shared" si="8"/>
        <v>sacs:Lieu_hasOrHadIdentifier</v>
      </c>
      <c r="B53" s="46" t="s">
        <v>291</v>
      </c>
      <c r="C53" s="46" t="s">
        <v>124</v>
      </c>
      <c r="D53" s="54"/>
      <c r="E53" s="46" t="s">
        <v>347</v>
      </c>
      <c r="F53" s="46" t="s">
        <v>348</v>
      </c>
      <c r="G53" s="46"/>
      <c r="H53" s="46">
        <v>0.0</v>
      </c>
      <c r="I53" s="46">
        <v>1.0</v>
      </c>
      <c r="J53" s="45" t="s">
        <v>265</v>
      </c>
      <c r="K53" s="54"/>
      <c r="L53" s="46" t="s">
        <v>72</v>
      </c>
      <c r="M53" s="54"/>
      <c r="N53" s="54"/>
      <c r="O53" s="43"/>
      <c r="P53" s="43"/>
      <c r="Q53" s="43"/>
      <c r="R53" s="56"/>
      <c r="S53" s="43"/>
      <c r="T53" s="43"/>
      <c r="U53" s="43"/>
      <c r="V53" s="43"/>
      <c r="W53" s="43"/>
      <c r="X53" s="43"/>
      <c r="Y53" s="99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</row>
    <row r="54" ht="14.25" customHeight="1" outlineLevel="1">
      <c r="A54" s="43"/>
      <c r="B54" s="43"/>
      <c r="C54" s="43"/>
      <c r="D54" s="43"/>
      <c r="E54" s="43"/>
      <c r="F54" s="43"/>
      <c r="G54" s="43"/>
      <c r="H54" s="82"/>
      <c r="I54" s="82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99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</row>
    <row r="55" ht="14.25" customHeight="1">
      <c r="A55" s="95" t="s">
        <v>130</v>
      </c>
      <c r="B55" s="52"/>
      <c r="C55" s="52"/>
      <c r="D55" s="52"/>
      <c r="E55" s="52"/>
      <c r="F55" s="52"/>
      <c r="G55" s="52"/>
      <c r="H55" s="53"/>
      <c r="I55" s="53"/>
      <c r="J55" s="52"/>
      <c r="K55" s="52"/>
      <c r="L55" s="52"/>
      <c r="M55" s="53"/>
      <c r="N55" s="53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96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</row>
    <row r="56" ht="14.25" customHeight="1" outlineLevel="1">
      <c r="A56" s="44" t="s">
        <v>349</v>
      </c>
      <c r="B56" s="46" t="s">
        <v>302</v>
      </c>
      <c r="C56" s="46" t="s">
        <v>131</v>
      </c>
      <c r="D56" s="54"/>
      <c r="E56" s="46" t="s">
        <v>303</v>
      </c>
      <c r="F56" s="46" t="s">
        <v>304</v>
      </c>
      <c r="G56" s="54"/>
      <c r="H56" s="82"/>
      <c r="I56" s="82"/>
      <c r="J56" s="45" t="s">
        <v>265</v>
      </c>
      <c r="K56" s="45"/>
      <c r="L56" s="46"/>
      <c r="N56" s="54"/>
      <c r="O56" s="119"/>
      <c r="P56" s="43"/>
      <c r="Q56" s="43"/>
      <c r="R56" s="56"/>
      <c r="S56" s="122" t="s">
        <v>350</v>
      </c>
      <c r="T56" s="44">
        <v>1.0</v>
      </c>
      <c r="U56" s="44">
        <v>1.0</v>
      </c>
      <c r="V56" s="43"/>
      <c r="W56" s="43"/>
      <c r="X56" s="43"/>
      <c r="Y56" s="99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</row>
    <row r="57" ht="14.25" customHeight="1" outlineLevel="1">
      <c r="A57" s="44" t="s">
        <v>351</v>
      </c>
      <c r="B57" s="46" t="s">
        <v>302</v>
      </c>
      <c r="C57" s="46" t="s">
        <v>131</v>
      </c>
      <c r="D57" s="54"/>
      <c r="E57" s="46" t="s">
        <v>352</v>
      </c>
      <c r="F57" s="46" t="s">
        <v>353</v>
      </c>
      <c r="G57" s="54"/>
      <c r="H57" s="82"/>
      <c r="I57" s="82"/>
      <c r="J57" s="45" t="s">
        <v>265</v>
      </c>
      <c r="K57" s="45"/>
      <c r="L57" s="46"/>
      <c r="N57" s="54"/>
      <c r="O57" s="119"/>
      <c r="P57" s="43"/>
      <c r="Q57" s="43"/>
      <c r="R57" s="81" t="s">
        <v>354</v>
      </c>
      <c r="S57" s="122" t="s">
        <v>355</v>
      </c>
      <c r="T57" s="43"/>
      <c r="U57" s="44">
        <v>2.0</v>
      </c>
      <c r="V57" s="43"/>
      <c r="W57" s="43"/>
      <c r="X57" s="43"/>
      <c r="Y57" s="99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</row>
    <row r="58" ht="15.0" customHeight="1" outlineLevel="1">
      <c r="A58" s="123" t="str">
        <f t="shared" ref="A58:A65" si="9">CONCATENATE("sacs:",RIGHT(C58,LEN(C58)-SEARCH(":",C58)),"_", RIGHT(B58,LEN(B58)-SEARCH(":", B58)) )</f>
        <v>sacs:Procedure_hasActivityType</v>
      </c>
      <c r="B58" s="124" t="s">
        <v>302</v>
      </c>
      <c r="C58" s="124" t="s">
        <v>131</v>
      </c>
      <c r="D58" s="125"/>
      <c r="E58" s="124" t="s">
        <v>356</v>
      </c>
      <c r="F58" s="124" t="s">
        <v>357</v>
      </c>
      <c r="G58" s="125"/>
      <c r="H58" s="126">
        <v>1.0</v>
      </c>
      <c r="I58" s="126">
        <v>3.0</v>
      </c>
      <c r="J58" s="127" t="s">
        <v>265</v>
      </c>
      <c r="K58" s="127"/>
      <c r="L58" s="124" t="s">
        <v>213</v>
      </c>
      <c r="M58" s="76"/>
      <c r="N58" s="125"/>
      <c r="O58" s="128"/>
      <c r="P58" s="123"/>
      <c r="Q58" s="123"/>
      <c r="R58" s="129"/>
      <c r="S58" s="130"/>
      <c r="T58" s="123"/>
      <c r="U58" s="131"/>
      <c r="V58" s="123"/>
      <c r="W58" s="123"/>
      <c r="X58" s="123"/>
      <c r="Y58" s="132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</row>
    <row r="59" ht="14.25" customHeight="1" outlineLevel="1">
      <c r="A59" s="43" t="str">
        <f t="shared" si="9"/>
        <v>sacs:Procedure_name</v>
      </c>
      <c r="B59" s="46" t="s">
        <v>257</v>
      </c>
      <c r="C59" s="46" t="s">
        <v>131</v>
      </c>
      <c r="D59" s="54"/>
      <c r="E59" s="46" t="s">
        <v>332</v>
      </c>
      <c r="F59" s="46" t="s">
        <v>358</v>
      </c>
      <c r="G59" s="54"/>
      <c r="H59" s="134">
        <v>1.0</v>
      </c>
      <c r="I59" s="82">
        <v>1.0</v>
      </c>
      <c r="J59" s="45" t="s">
        <v>259</v>
      </c>
      <c r="K59" s="50" t="s">
        <v>273</v>
      </c>
      <c r="L59" s="54"/>
      <c r="M59" s="54"/>
      <c r="N59" s="54"/>
      <c r="O59" s="43"/>
      <c r="P59" s="43"/>
      <c r="Q59" s="98" t="s">
        <v>261</v>
      </c>
      <c r="R59" s="56"/>
      <c r="S59" s="43"/>
      <c r="T59" s="43"/>
      <c r="U59" s="43"/>
      <c r="V59" s="43"/>
      <c r="W59" s="43"/>
      <c r="X59" s="43"/>
      <c r="Y59" s="99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</row>
    <row r="60" ht="14.25" customHeight="1" outlineLevel="1">
      <c r="A60" s="43" t="str">
        <f t="shared" si="9"/>
        <v>sacs:Procedure_resultsOrResultedFrom</v>
      </c>
      <c r="B60" s="46" t="s">
        <v>359</v>
      </c>
      <c r="C60" s="46" t="s">
        <v>131</v>
      </c>
      <c r="D60" s="54"/>
      <c r="E60" s="120" t="s">
        <v>360</v>
      </c>
      <c r="F60" s="46" t="s">
        <v>361</v>
      </c>
      <c r="G60" s="54"/>
      <c r="H60" s="82">
        <v>1.0</v>
      </c>
      <c r="I60" s="82">
        <v>1.0</v>
      </c>
      <c r="J60" s="45" t="s">
        <v>265</v>
      </c>
      <c r="L60" s="46" t="s">
        <v>98</v>
      </c>
      <c r="M60" s="46"/>
      <c r="N60" s="54"/>
      <c r="O60" s="43"/>
      <c r="P60" s="43"/>
      <c r="Q60" s="43"/>
      <c r="R60" s="56"/>
      <c r="S60" s="43"/>
      <c r="T60" s="43"/>
      <c r="U60" s="43"/>
      <c r="V60" s="43"/>
      <c r="W60" s="43"/>
      <c r="X60" s="43"/>
      <c r="Y60" s="99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</row>
    <row r="61" ht="14.25" customHeight="1" outlineLevel="1">
      <c r="A61" s="43" t="str">
        <f t="shared" si="9"/>
        <v>sacs:Procedure_hasOrHadSubevent</v>
      </c>
      <c r="B61" s="46" t="s">
        <v>362</v>
      </c>
      <c r="C61" s="46" t="s">
        <v>131</v>
      </c>
      <c r="D61" s="54"/>
      <c r="E61" s="46" t="s">
        <v>363</v>
      </c>
      <c r="F61" s="46" t="s">
        <v>364</v>
      </c>
      <c r="G61" s="54"/>
      <c r="H61" s="82">
        <v>1.0</v>
      </c>
      <c r="I61" s="82"/>
      <c r="J61" s="45" t="s">
        <v>265</v>
      </c>
      <c r="L61" s="46"/>
      <c r="M61" s="46" t="s">
        <v>105</v>
      </c>
      <c r="N61" s="54"/>
      <c r="O61" s="43"/>
      <c r="P61" s="43"/>
      <c r="Q61" s="43"/>
      <c r="R61" s="56"/>
      <c r="S61" s="43"/>
      <c r="T61" s="43"/>
      <c r="U61" s="43"/>
      <c r="V61" s="43"/>
      <c r="W61" s="43"/>
      <c r="X61" s="43"/>
      <c r="Y61" s="99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</row>
    <row r="62" ht="14.25" customHeight="1" outlineLevel="1">
      <c r="A62" s="43" t="str">
        <f t="shared" si="9"/>
        <v>sacs:Procedure_isAssociatedWithEvent</v>
      </c>
      <c r="B62" s="46" t="s">
        <v>365</v>
      </c>
      <c r="C62" s="46" t="s">
        <v>131</v>
      </c>
      <c r="D62" s="54"/>
      <c r="E62" s="120" t="s">
        <v>366</v>
      </c>
      <c r="F62" s="46" t="s">
        <v>367</v>
      </c>
      <c r="G62" s="54"/>
      <c r="I62" s="82"/>
      <c r="J62" s="45" t="s">
        <v>265</v>
      </c>
      <c r="K62" s="54"/>
      <c r="L62" s="46"/>
      <c r="M62" s="46" t="s">
        <v>131</v>
      </c>
      <c r="N62" s="54"/>
      <c r="O62" s="43"/>
      <c r="P62" s="43"/>
      <c r="Q62" s="43"/>
      <c r="R62" s="56"/>
      <c r="S62" s="43"/>
      <c r="T62" s="43"/>
      <c r="U62" s="43"/>
      <c r="V62" s="43"/>
      <c r="W62" s="43"/>
      <c r="X62" s="43"/>
      <c r="Y62" s="99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</row>
    <row r="63" ht="14.25" customHeight="1" outlineLevel="1">
      <c r="A63" s="43" t="str">
        <f t="shared" si="9"/>
        <v>sacs:Procedure_hasOrHadParticipant</v>
      </c>
      <c r="B63" s="46" t="s">
        <v>368</v>
      </c>
      <c r="C63" s="46" t="s">
        <v>131</v>
      </c>
      <c r="D63" s="54"/>
      <c r="E63" s="46" t="s">
        <v>369</v>
      </c>
      <c r="F63" s="46" t="s">
        <v>370</v>
      </c>
      <c r="G63" s="54"/>
      <c r="H63" s="82"/>
      <c r="I63" s="82"/>
      <c r="J63" s="45" t="s">
        <v>265</v>
      </c>
      <c r="K63" s="54"/>
      <c r="L63" s="54"/>
      <c r="M63" s="135" t="s">
        <v>371</v>
      </c>
      <c r="O63" s="43"/>
      <c r="P63" s="43"/>
      <c r="Q63" s="43"/>
      <c r="R63" s="56"/>
      <c r="S63" s="43"/>
      <c r="T63" s="43"/>
      <c r="U63" s="43"/>
      <c r="V63" s="43"/>
      <c r="W63" s="43"/>
      <c r="X63" s="43"/>
      <c r="Y63" s="99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</row>
    <row r="64" ht="14.25" customHeight="1" outlineLevel="1">
      <c r="A64" s="43" t="str">
        <f t="shared" si="9"/>
        <v>sacs:Procedure_hasBeginningDate</v>
      </c>
      <c r="B64" s="46" t="s">
        <v>372</v>
      </c>
      <c r="C64" s="46" t="s">
        <v>131</v>
      </c>
      <c r="D64" s="54"/>
      <c r="E64" s="46" t="s">
        <v>373</v>
      </c>
      <c r="F64" s="46" t="s">
        <v>374</v>
      </c>
      <c r="G64" s="54"/>
      <c r="H64" s="82">
        <v>1.0</v>
      </c>
      <c r="I64" s="82">
        <v>1.0</v>
      </c>
      <c r="J64" s="45" t="s">
        <v>265</v>
      </c>
      <c r="K64" s="54"/>
      <c r="L64" s="46" t="s">
        <v>82</v>
      </c>
      <c r="M64" s="135"/>
      <c r="O64" s="43"/>
      <c r="P64" s="43"/>
      <c r="Q64" s="43"/>
      <c r="R64" s="56"/>
      <c r="S64" s="43"/>
      <c r="T64" s="43"/>
      <c r="U64" s="43"/>
      <c r="V64" s="43"/>
      <c r="W64" s="43"/>
      <c r="X64" s="43"/>
      <c r="Y64" s="99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</row>
    <row r="65" ht="14.25" customHeight="1" outlineLevel="1">
      <c r="A65" s="43" t="str">
        <f t="shared" si="9"/>
        <v>sacs:Procedure_hasEndDate</v>
      </c>
      <c r="B65" s="46" t="s">
        <v>375</v>
      </c>
      <c r="C65" s="46" t="s">
        <v>131</v>
      </c>
      <c r="D65" s="54"/>
      <c r="E65" s="46" t="s">
        <v>376</v>
      </c>
      <c r="F65" s="46" t="s">
        <v>377</v>
      </c>
      <c r="G65" s="54"/>
      <c r="H65" s="82">
        <v>1.0</v>
      </c>
      <c r="I65" s="82">
        <v>1.0</v>
      </c>
      <c r="J65" s="45" t="s">
        <v>265</v>
      </c>
      <c r="K65" s="54"/>
      <c r="L65" s="46" t="s">
        <v>82</v>
      </c>
      <c r="M65" s="135"/>
      <c r="O65" s="43"/>
      <c r="P65" s="43"/>
      <c r="Q65" s="43"/>
      <c r="R65" s="56"/>
      <c r="S65" s="43"/>
      <c r="T65" s="43"/>
      <c r="U65" s="43"/>
      <c r="V65" s="43"/>
      <c r="W65" s="43"/>
      <c r="X65" s="43"/>
      <c r="Y65" s="99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</row>
    <row r="66" ht="14.25" customHeight="1" outlineLevel="1">
      <c r="A66" s="43"/>
      <c r="B66" s="43"/>
      <c r="C66" s="43"/>
      <c r="D66" s="43"/>
      <c r="E66" s="43"/>
      <c r="F66" s="43"/>
      <c r="G66" s="43"/>
      <c r="H66" s="82"/>
      <c r="I66" s="82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99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</row>
    <row r="67" ht="14.25" customHeight="1">
      <c r="A67" s="95" t="s">
        <v>136</v>
      </c>
      <c r="B67" s="52"/>
      <c r="C67" s="52"/>
      <c r="D67" s="52"/>
      <c r="E67" s="52"/>
      <c r="F67" s="52"/>
      <c r="G67" s="52"/>
      <c r="H67" s="53"/>
      <c r="I67" s="53"/>
      <c r="J67" s="52"/>
      <c r="K67" s="52"/>
      <c r="L67" s="52"/>
      <c r="M67" s="53"/>
      <c r="N67" s="53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96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</row>
    <row r="68" ht="14.25" customHeight="1" outlineLevel="1">
      <c r="A68" s="102" t="str">
        <f t="shared" ref="A68:A76" si="10">CONCATENATE("sacs:",RIGHT(C68,LEN(C68)-SEARCH(":",C68)),"_", RIGHT(B68,LEN(B68)-SEARCH(":", B68)) )</f>
        <v>sacs:Sac_name</v>
      </c>
      <c r="B68" s="117" t="s">
        <v>257</v>
      </c>
      <c r="C68" s="103" t="s">
        <v>137</v>
      </c>
      <c r="D68" s="117"/>
      <c r="E68" s="103" t="s">
        <v>275</v>
      </c>
      <c r="F68" s="105" t="s">
        <v>378</v>
      </c>
      <c r="G68" s="117"/>
      <c r="H68" s="106">
        <v>1.0</v>
      </c>
      <c r="I68" s="106">
        <v>1.0</v>
      </c>
      <c r="J68" s="107" t="s">
        <v>259</v>
      </c>
      <c r="K68" s="107" t="s">
        <v>260</v>
      </c>
      <c r="L68" s="117"/>
      <c r="M68" s="102"/>
      <c r="N68" s="102"/>
      <c r="O68" s="102"/>
      <c r="P68" s="102"/>
      <c r="Q68" s="109" t="s">
        <v>261</v>
      </c>
      <c r="R68" s="109"/>
      <c r="S68" s="102"/>
      <c r="T68" s="102"/>
      <c r="U68" s="102"/>
      <c r="V68" s="102"/>
      <c r="W68" s="102"/>
      <c r="X68" s="102"/>
      <c r="Y68" s="118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</row>
    <row r="69" ht="14.25" customHeight="1" outlineLevel="1">
      <c r="A69" s="43" t="str">
        <f t="shared" si="10"/>
        <v>sacs:Sac_hasCarrierType</v>
      </c>
      <c r="B69" s="46" t="s">
        <v>327</v>
      </c>
      <c r="C69" s="46" t="s">
        <v>137</v>
      </c>
      <c r="D69" s="54"/>
      <c r="E69" s="44" t="s">
        <v>328</v>
      </c>
      <c r="F69" s="46" t="s">
        <v>329</v>
      </c>
      <c r="G69" s="54"/>
      <c r="H69" s="82">
        <v>1.0</v>
      </c>
      <c r="I69" s="82">
        <v>1.0</v>
      </c>
      <c r="J69" s="45" t="s">
        <v>265</v>
      </c>
      <c r="K69" s="45"/>
      <c r="L69" s="46" t="s">
        <v>198</v>
      </c>
      <c r="N69" s="54"/>
      <c r="O69" s="119" t="s">
        <v>379</v>
      </c>
      <c r="P69" s="43"/>
      <c r="Q69" s="43"/>
      <c r="R69" s="56"/>
      <c r="S69" s="43"/>
      <c r="T69" s="43"/>
      <c r="U69" s="43"/>
      <c r="V69" s="43"/>
      <c r="W69" s="43"/>
      <c r="X69" s="43"/>
      <c r="Y69" s="99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</row>
    <row r="70" ht="14.25" customHeight="1" outlineLevel="1">
      <c r="A70" s="43" t="str">
        <f t="shared" si="10"/>
        <v>sacs:Sac_physicalCharacteristicsNote</v>
      </c>
      <c r="B70" s="46" t="s">
        <v>380</v>
      </c>
      <c r="C70" s="46" t="s">
        <v>137</v>
      </c>
      <c r="D70" s="54"/>
      <c r="E70" s="46" t="s">
        <v>381</v>
      </c>
      <c r="F70" s="46" t="s">
        <v>382</v>
      </c>
      <c r="G70" s="54"/>
      <c r="H70" s="82"/>
      <c r="I70" s="82">
        <v>1.0</v>
      </c>
      <c r="J70" s="45" t="s">
        <v>259</v>
      </c>
      <c r="K70" s="50" t="s">
        <v>273</v>
      </c>
      <c r="L70" s="54"/>
      <c r="M70" s="54"/>
      <c r="N70" s="54"/>
      <c r="O70" s="43"/>
      <c r="P70" s="43"/>
      <c r="Q70" s="43"/>
      <c r="R70" s="56"/>
      <c r="S70" s="43"/>
      <c r="T70" s="43"/>
      <c r="U70" s="43"/>
      <c r="V70" s="43"/>
      <c r="W70" s="43"/>
      <c r="X70" s="43"/>
      <c r="Y70" s="99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</row>
    <row r="71" ht="14.25" customHeight="1" outlineLevel="1">
      <c r="A71" s="43" t="str">
        <f t="shared" si="10"/>
        <v>sacs:Sac_structure</v>
      </c>
      <c r="B71" s="46" t="s">
        <v>383</v>
      </c>
      <c r="C71" s="46" t="s">
        <v>137</v>
      </c>
      <c r="D71" s="54"/>
      <c r="E71" s="46" t="s">
        <v>384</v>
      </c>
      <c r="F71" s="46" t="s">
        <v>385</v>
      </c>
      <c r="G71" s="54"/>
      <c r="H71" s="82"/>
      <c r="I71" s="82">
        <v>1.0</v>
      </c>
      <c r="J71" s="45" t="s">
        <v>259</v>
      </c>
      <c r="K71" s="50" t="s">
        <v>273</v>
      </c>
      <c r="L71" s="54"/>
      <c r="M71" s="54"/>
      <c r="N71" s="54"/>
      <c r="O71" s="43"/>
      <c r="P71" s="43"/>
      <c r="Q71" s="43"/>
      <c r="R71" s="56"/>
      <c r="S71" s="43"/>
      <c r="T71" s="43"/>
      <c r="U71" s="43"/>
      <c r="V71" s="43"/>
      <c r="W71" s="43"/>
      <c r="X71" s="43"/>
      <c r="Y71" s="99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</row>
    <row r="72" ht="14.25" customHeight="1" outlineLevel="1">
      <c r="A72" s="43" t="str">
        <f t="shared" si="10"/>
        <v>sacs:Sac_hasOrHadIdentifier</v>
      </c>
      <c r="B72" s="46" t="s">
        <v>291</v>
      </c>
      <c r="C72" s="46" t="s">
        <v>137</v>
      </c>
      <c r="D72" s="54"/>
      <c r="E72" s="46" t="s">
        <v>386</v>
      </c>
      <c r="F72" s="46" t="s">
        <v>387</v>
      </c>
      <c r="G72" s="54"/>
      <c r="H72" s="82">
        <v>1.0</v>
      </c>
      <c r="I72" s="82"/>
      <c r="J72" s="45" t="s">
        <v>265</v>
      </c>
      <c r="K72" s="54"/>
      <c r="L72" s="46" t="s">
        <v>72</v>
      </c>
      <c r="M72" s="54"/>
      <c r="N72" s="54"/>
      <c r="O72" s="43"/>
      <c r="P72" s="43"/>
      <c r="Q72" s="43"/>
      <c r="R72" s="56"/>
      <c r="S72" s="43"/>
      <c r="T72" s="43"/>
      <c r="U72" s="43"/>
      <c r="V72" s="43"/>
      <c r="W72" s="43"/>
      <c r="X72" s="43"/>
      <c r="Y72" s="99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</row>
    <row r="73" ht="14.25" customHeight="1" outlineLevel="1">
      <c r="A73" s="43" t="str">
        <f t="shared" si="10"/>
        <v>sacs:Sac_wasComponentOf</v>
      </c>
      <c r="B73" s="46" t="s">
        <v>388</v>
      </c>
      <c r="C73" s="46" t="s">
        <v>137</v>
      </c>
      <c r="D73" s="54"/>
      <c r="E73" s="120" t="s">
        <v>389</v>
      </c>
      <c r="F73" s="46" t="s">
        <v>390</v>
      </c>
      <c r="G73" s="54"/>
      <c r="H73" s="82"/>
      <c r="I73" s="82">
        <v>1.0</v>
      </c>
      <c r="J73" s="45" t="s">
        <v>265</v>
      </c>
      <c r="M73" s="46" t="s">
        <v>117</v>
      </c>
      <c r="N73" s="54"/>
      <c r="O73" s="43"/>
      <c r="P73" s="43"/>
      <c r="Q73" s="43"/>
      <c r="R73" s="56"/>
      <c r="S73" s="43"/>
      <c r="T73" s="43"/>
      <c r="U73" s="43"/>
      <c r="V73" s="43"/>
      <c r="W73" s="43"/>
      <c r="X73" s="43"/>
      <c r="Y73" s="99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</row>
    <row r="74" ht="14.25" customHeight="1" outlineLevel="1">
      <c r="A74" s="43" t="str">
        <f t="shared" si="10"/>
        <v>sacs:Sac_isOrWasInstantiationOf</v>
      </c>
      <c r="B74" s="46" t="s">
        <v>391</v>
      </c>
      <c r="C74" s="46" t="s">
        <v>137</v>
      </c>
      <c r="D74" s="54"/>
      <c r="E74" s="120" t="s">
        <v>392</v>
      </c>
      <c r="F74" s="54" t="s">
        <v>393</v>
      </c>
      <c r="G74" s="54"/>
      <c r="H74" s="82">
        <v>1.0</v>
      </c>
      <c r="I74" s="82">
        <v>1.0</v>
      </c>
      <c r="J74" s="45" t="s">
        <v>265</v>
      </c>
      <c r="L74" s="46" t="s">
        <v>90</v>
      </c>
      <c r="M74" s="54"/>
      <c r="N74" s="54"/>
      <c r="O74" s="43"/>
      <c r="P74" s="43"/>
      <c r="Q74" s="43"/>
      <c r="R74" s="56"/>
      <c r="S74" s="43"/>
      <c r="T74" s="43"/>
      <c r="U74" s="43"/>
      <c r="V74" s="43"/>
      <c r="W74" s="43"/>
      <c r="X74" s="43"/>
      <c r="Y74" s="99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</row>
    <row r="75" ht="14.25" customHeight="1" outlineLevel="1">
      <c r="A75" s="43" t="str">
        <f t="shared" si="10"/>
        <v>sacs:Sac_hasOrganicProvenance</v>
      </c>
      <c r="B75" s="46" t="s">
        <v>394</v>
      </c>
      <c r="C75" s="46" t="s">
        <v>137</v>
      </c>
      <c r="D75" s="54"/>
      <c r="E75" s="46" t="s">
        <v>395</v>
      </c>
      <c r="F75" s="46" t="s">
        <v>396</v>
      </c>
      <c r="G75" s="54"/>
      <c r="H75" s="82"/>
      <c r="I75" s="82"/>
      <c r="J75" s="45" t="s">
        <v>265</v>
      </c>
      <c r="K75" s="54"/>
      <c r="M75" s="46" t="s">
        <v>110</v>
      </c>
      <c r="N75" s="54"/>
      <c r="P75" s="43"/>
      <c r="Q75" s="43"/>
      <c r="R75" s="56"/>
      <c r="S75" s="43"/>
      <c r="T75" s="43"/>
      <c r="U75" s="43"/>
      <c r="V75" s="43"/>
      <c r="W75" s="43"/>
      <c r="X75" s="43"/>
      <c r="Y75" s="99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</row>
    <row r="76" ht="14.25" customHeight="1" outlineLevel="1">
      <c r="A76" s="43" t="str">
        <f t="shared" si="10"/>
        <v>sacs:Sac_documents</v>
      </c>
      <c r="B76" s="54" t="s">
        <v>287</v>
      </c>
      <c r="C76" s="46" t="s">
        <v>137</v>
      </c>
      <c r="D76" s="43"/>
      <c r="E76" s="44" t="s">
        <v>288</v>
      </c>
      <c r="F76" s="54" t="s">
        <v>289</v>
      </c>
      <c r="G76" s="43"/>
      <c r="H76" s="82">
        <v>1.0</v>
      </c>
      <c r="I76" s="82">
        <v>1.0</v>
      </c>
      <c r="J76" s="45" t="s">
        <v>265</v>
      </c>
      <c r="K76" s="43"/>
      <c r="L76" s="46"/>
      <c r="M76" s="46" t="s">
        <v>131</v>
      </c>
      <c r="N76" s="43"/>
      <c r="O76" s="43"/>
      <c r="P76" s="43"/>
      <c r="Q76" s="43"/>
      <c r="R76" s="56"/>
      <c r="S76" s="43"/>
      <c r="T76" s="43"/>
      <c r="U76" s="43"/>
      <c r="V76" s="43"/>
      <c r="W76" s="43"/>
      <c r="X76" s="43"/>
      <c r="Y76" s="99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</row>
    <row r="77" ht="14.25" customHeight="1" outlineLevel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99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</row>
    <row r="78" ht="14.25" customHeight="1">
      <c r="A78" s="95" t="s">
        <v>142</v>
      </c>
      <c r="B78" s="52"/>
      <c r="C78" s="52"/>
      <c r="D78" s="52"/>
      <c r="E78" s="52"/>
      <c r="F78" s="52"/>
      <c r="G78" s="52"/>
      <c r="H78" s="53"/>
      <c r="I78" s="53"/>
      <c r="J78" s="52"/>
      <c r="K78" s="52"/>
      <c r="L78" s="52"/>
      <c r="M78" s="53"/>
      <c r="N78" s="53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96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</row>
    <row r="79" ht="14.25" customHeight="1" outlineLevel="1">
      <c r="A79" s="43" t="str">
        <f t="shared" ref="A79:A81" si="11">CONCATENATE("sacs:",RIGHT(C79,LEN(C79)-SEARCH(":",C79)),"_", RIGHT(B79,LEN(B79)-SEARCH(":", B79)) )</f>
        <v>sacs:PersonneMorale_name</v>
      </c>
      <c r="B79" s="46" t="s">
        <v>257</v>
      </c>
      <c r="C79" s="46" t="s">
        <v>143</v>
      </c>
      <c r="D79" s="54"/>
      <c r="E79" s="46" t="s">
        <v>315</v>
      </c>
      <c r="F79" s="46" t="s">
        <v>397</v>
      </c>
      <c r="G79" s="54"/>
      <c r="H79" s="82">
        <v>1.0</v>
      </c>
      <c r="I79" s="82">
        <v>1.0</v>
      </c>
      <c r="J79" s="45" t="s">
        <v>259</v>
      </c>
      <c r="K79" s="50" t="s">
        <v>273</v>
      </c>
      <c r="L79" s="54"/>
      <c r="M79" s="54"/>
      <c r="N79" s="54"/>
      <c r="O79" s="43"/>
      <c r="P79" s="43"/>
      <c r="Q79" s="98" t="s">
        <v>261</v>
      </c>
      <c r="R79" s="56"/>
      <c r="S79" s="43"/>
      <c r="T79" s="43"/>
      <c r="U79" s="43"/>
      <c r="V79" s="43"/>
      <c r="W79" s="43"/>
      <c r="X79" s="43"/>
      <c r="Y79" s="99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</row>
    <row r="80" ht="14.25" customHeight="1" outlineLevel="1">
      <c r="A80" s="43" t="str">
        <f t="shared" si="11"/>
        <v>sacs:PersonneMorale_hasOrHadCorporateBodyType</v>
      </c>
      <c r="B80" s="46" t="s">
        <v>323</v>
      </c>
      <c r="C80" s="46" t="s">
        <v>143</v>
      </c>
      <c r="D80" s="43"/>
      <c r="E80" s="44" t="s">
        <v>398</v>
      </c>
      <c r="F80" s="46" t="s">
        <v>325</v>
      </c>
      <c r="G80" s="43"/>
      <c r="H80" s="44">
        <v>1.0</v>
      </c>
      <c r="I80" s="44">
        <v>1.0</v>
      </c>
      <c r="J80" s="45" t="s">
        <v>265</v>
      </c>
      <c r="K80" s="43"/>
      <c r="L80" s="46" t="s">
        <v>208</v>
      </c>
      <c r="M80" s="43"/>
      <c r="N80" s="43"/>
      <c r="O80" s="44"/>
      <c r="P80" s="43"/>
      <c r="Q80" s="43"/>
      <c r="R80" s="56"/>
      <c r="S80" s="43"/>
      <c r="T80" s="43"/>
      <c r="U80" s="43"/>
      <c r="V80" s="43"/>
      <c r="W80" s="43"/>
      <c r="X80" s="43"/>
      <c r="Y80" s="99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</row>
    <row r="81" ht="14.25" customHeight="1" outlineLevel="1">
      <c r="A81" s="43" t="str">
        <f t="shared" si="11"/>
        <v>sacs:PersonneMorale_agentHasOrHadLocation</v>
      </c>
      <c r="B81" s="46" t="s">
        <v>320</v>
      </c>
      <c r="C81" s="46" t="s">
        <v>143</v>
      </c>
      <c r="D81" s="43"/>
      <c r="E81" s="120" t="s">
        <v>321</v>
      </c>
      <c r="F81" s="46" t="s">
        <v>399</v>
      </c>
      <c r="G81" s="43"/>
      <c r="H81" s="43"/>
      <c r="I81" s="43"/>
      <c r="J81" s="45" t="s">
        <v>265</v>
      </c>
      <c r="K81" s="54"/>
      <c r="L81" s="46" t="s">
        <v>126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99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</row>
    <row r="82" ht="14.25" customHeight="1" outlineLevel="1">
      <c r="A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99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</row>
    <row r="83" ht="14.25" customHeight="1">
      <c r="A83" s="95" t="s">
        <v>148</v>
      </c>
      <c r="B83" s="52"/>
      <c r="C83" s="52"/>
      <c r="D83" s="52"/>
      <c r="E83" s="52"/>
      <c r="F83" s="52"/>
      <c r="G83" s="52"/>
      <c r="H83" s="53"/>
      <c r="I83" s="53"/>
      <c r="J83" s="52"/>
      <c r="K83" s="52"/>
      <c r="L83" s="52"/>
      <c r="M83" s="53"/>
      <c r="N83" s="53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96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</row>
    <row r="84" ht="14.25" customHeight="1" outlineLevel="1">
      <c r="A84" s="43" t="str">
        <f t="shared" ref="A84:A86" si="12">CONCATENATE("sacs:",RIGHT(C84,LEN(C84)-SEARCH(":",C84)),"_", RIGHT(B84,LEN(B84)-SEARCH(":", B84)) )</f>
        <v>sacs:PersonnePhysique_name</v>
      </c>
      <c r="B84" s="46" t="s">
        <v>257</v>
      </c>
      <c r="C84" s="46" t="s">
        <v>149</v>
      </c>
      <c r="D84" s="54"/>
      <c r="E84" s="46" t="s">
        <v>315</v>
      </c>
      <c r="F84" s="46" t="s">
        <v>400</v>
      </c>
      <c r="G84" s="54"/>
      <c r="H84" s="82">
        <v>1.0</v>
      </c>
      <c r="I84" s="82">
        <v>1.0</v>
      </c>
      <c r="J84" s="45" t="s">
        <v>259</v>
      </c>
      <c r="K84" s="50" t="s">
        <v>273</v>
      </c>
      <c r="L84" s="54"/>
      <c r="M84" s="54"/>
      <c r="N84" s="54"/>
      <c r="O84" s="43"/>
      <c r="P84" s="43"/>
      <c r="Q84" s="98" t="s">
        <v>261</v>
      </c>
      <c r="R84" s="56"/>
      <c r="S84" s="43"/>
      <c r="T84" s="43"/>
      <c r="U84" s="43"/>
      <c r="V84" s="43"/>
      <c r="W84" s="43"/>
      <c r="X84" s="43"/>
      <c r="Y84" s="99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</row>
    <row r="85" ht="14.25" customHeight="1" outlineLevel="1">
      <c r="A85" s="43" t="str">
        <f t="shared" si="12"/>
        <v>sacs:PersonnePhysique_hasOrHadOccupationOfType</v>
      </c>
      <c r="B85" s="46" t="s">
        <v>401</v>
      </c>
      <c r="C85" s="46" t="s">
        <v>149</v>
      </c>
      <c r="D85" s="54"/>
      <c r="E85" s="46" t="s">
        <v>402</v>
      </c>
      <c r="F85" s="46" t="s">
        <v>403</v>
      </c>
      <c r="G85" s="54"/>
      <c r="H85" s="82">
        <v>1.0</v>
      </c>
      <c r="I85" s="82"/>
      <c r="J85" s="45" t="s">
        <v>265</v>
      </c>
      <c r="K85" s="54"/>
      <c r="L85" s="54" t="s">
        <v>188</v>
      </c>
      <c r="M85" s="54"/>
      <c r="N85" s="54"/>
      <c r="O85" s="43"/>
      <c r="P85" s="43"/>
      <c r="Q85" s="43"/>
      <c r="R85" s="56"/>
      <c r="S85" s="43"/>
      <c r="T85" s="43"/>
      <c r="U85" s="43"/>
      <c r="V85" s="43"/>
      <c r="W85" s="43"/>
      <c r="X85" s="43"/>
      <c r="Y85" s="99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</row>
    <row r="86" ht="14.25" customHeight="1" outlineLevel="1">
      <c r="A86" s="43" t="str">
        <f t="shared" si="12"/>
        <v>sacs:PersonnePhysique_hasOrHadDemographicGroup</v>
      </c>
      <c r="B86" s="46" t="s">
        <v>404</v>
      </c>
      <c r="C86" s="46" t="s">
        <v>149</v>
      </c>
      <c r="D86" s="43"/>
      <c r="E86" s="44" t="s">
        <v>405</v>
      </c>
      <c r="F86" s="44" t="s">
        <v>406</v>
      </c>
      <c r="G86" s="43"/>
      <c r="H86" s="82">
        <v>1.0</v>
      </c>
      <c r="I86" s="82">
        <v>1.0</v>
      </c>
      <c r="J86" s="45" t="s">
        <v>265</v>
      </c>
      <c r="K86" s="43"/>
      <c r="L86" s="43"/>
      <c r="M86" s="44" t="s">
        <v>202</v>
      </c>
      <c r="N86" s="43"/>
      <c r="O86" s="44"/>
      <c r="P86" s="43"/>
      <c r="Q86" s="43"/>
      <c r="R86" s="56"/>
      <c r="S86" s="43"/>
      <c r="T86" s="43"/>
      <c r="U86" s="43"/>
      <c r="V86" s="43"/>
      <c r="W86" s="43"/>
      <c r="X86" s="43"/>
      <c r="Y86" s="99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</row>
    <row r="87" ht="14.25" customHeight="1" outlineLevel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99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</row>
    <row r="88" ht="14.25" customHeight="1" outlineLevel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99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</row>
    <row r="89" ht="14.25" customHeight="1">
      <c r="A89" s="61" t="s">
        <v>154</v>
      </c>
      <c r="B89" s="62"/>
      <c r="C89" s="62"/>
      <c r="D89" s="63"/>
      <c r="E89" s="64"/>
      <c r="F89" s="63"/>
      <c r="G89" s="63"/>
      <c r="H89" s="63"/>
      <c r="I89" s="64"/>
      <c r="J89" s="64"/>
      <c r="K89" s="63"/>
      <c r="L89" s="63"/>
      <c r="M89" s="64"/>
      <c r="N89" s="64"/>
      <c r="O89" s="64"/>
      <c r="P89" s="63"/>
      <c r="Q89" s="63"/>
      <c r="R89" s="63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</row>
    <row r="90" ht="14.25" customHeight="1" outlineLevel="1">
      <c r="A90" s="71" t="str">
        <f t="shared" ref="A90:A96" si="13">CONCATENATE("sacs:",RIGHT(C90,LEN(C90)-SEARCH(":",C90)),"_", RIGHT(B90,LEN(B90)-SEARCH(":", B90)) )</f>
        <v>sacs:Campagne_name</v>
      </c>
      <c r="B90" s="68" t="s">
        <v>257</v>
      </c>
      <c r="C90" s="136" t="s">
        <v>155</v>
      </c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114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</row>
    <row r="91" ht="14.25" customHeight="1" outlineLevel="1">
      <c r="A91" s="71" t="str">
        <f t="shared" si="13"/>
        <v>sacs:Campagne_hasActivityType</v>
      </c>
      <c r="B91" s="68" t="s">
        <v>302</v>
      </c>
      <c r="C91" s="136" t="s">
        <v>155</v>
      </c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114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</row>
    <row r="92" ht="14.25" customHeight="1" outlineLevel="1">
      <c r="A92" s="71" t="str">
        <f t="shared" si="13"/>
        <v>sacs:Campagne_hasOrHadSubevent</v>
      </c>
      <c r="B92" s="68" t="s">
        <v>362</v>
      </c>
      <c r="C92" s="136" t="s">
        <v>155</v>
      </c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114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</row>
    <row r="93" ht="14.25" customHeight="1" outlineLevel="1">
      <c r="A93" s="71" t="str">
        <f t="shared" si="13"/>
        <v>sacs:Campagne_hasOrHadParticipant</v>
      </c>
      <c r="B93" s="68" t="s">
        <v>368</v>
      </c>
      <c r="C93" s="136" t="s">
        <v>155</v>
      </c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114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</row>
    <row r="94" ht="14.25" customHeight="1" outlineLevel="1">
      <c r="A94" s="71" t="str">
        <f t="shared" si="13"/>
        <v>sacs:Campagne_hasBeginningDate</v>
      </c>
      <c r="B94" s="68" t="s">
        <v>372</v>
      </c>
      <c r="C94" s="136" t="s">
        <v>155</v>
      </c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114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</row>
    <row r="95" ht="14.25" customHeight="1" outlineLevel="1">
      <c r="A95" s="71" t="str">
        <f t="shared" si="13"/>
        <v>sacs:Campagne_hasEndDate</v>
      </c>
      <c r="B95" s="68" t="s">
        <v>375</v>
      </c>
      <c r="C95" s="136" t="s">
        <v>155</v>
      </c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114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ht="14.25" customHeight="1" outlineLevel="1">
      <c r="A96" s="71" t="str">
        <f t="shared" si="13"/>
        <v>sacs:Campagne_isSourceOfRelation</v>
      </c>
      <c r="B96" s="68" t="s">
        <v>407</v>
      </c>
      <c r="C96" s="136" t="s">
        <v>155</v>
      </c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114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</row>
    <row r="97" ht="14.25" customHeight="1" outlineLevel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32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</row>
    <row r="98" ht="14.25" customHeight="1">
      <c r="A98" s="61" t="s">
        <v>159</v>
      </c>
      <c r="B98" s="62"/>
      <c r="C98" s="62"/>
      <c r="D98" s="63"/>
      <c r="E98" s="64"/>
      <c r="F98" s="63"/>
      <c r="G98" s="63"/>
      <c r="H98" s="63"/>
      <c r="I98" s="64"/>
      <c r="J98" s="64"/>
      <c r="K98" s="63"/>
      <c r="L98" s="63"/>
      <c r="M98" s="64"/>
      <c r="N98" s="64"/>
      <c r="O98" s="64"/>
      <c r="P98" s="63"/>
      <c r="Q98" s="63"/>
      <c r="R98" s="63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</row>
    <row r="99" ht="14.25" customHeight="1" outlineLevel="1">
      <c r="A99" s="71" t="str">
        <f t="shared" ref="A99:A100" si="14">CONCATENATE("sacs:",RIGHT(C99,LEN(C99)-SEARCH(":",C99)),"_", RIGHT(B99,LEN(B99)-SEARCH(":", B99)) )</f>
        <v>sacs:RelationEvenement_relationHasTarget</v>
      </c>
      <c r="B99" s="68" t="s">
        <v>408</v>
      </c>
      <c r="C99" s="136" t="s">
        <v>160</v>
      </c>
      <c r="D99" s="71"/>
      <c r="E99" s="71"/>
      <c r="F99" s="71"/>
      <c r="G99" s="71"/>
      <c r="H99" s="71"/>
      <c r="I99" s="71"/>
      <c r="J99" s="71"/>
      <c r="K99" s="71"/>
      <c r="L99" s="68" t="s">
        <v>188</v>
      </c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114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</row>
    <row r="100" ht="14.25" customHeight="1" outlineLevel="1">
      <c r="A100" s="71" t="str">
        <f t="shared" si="14"/>
        <v>sacs:RelationEvenement_relationHasContext</v>
      </c>
      <c r="B100" s="68" t="s">
        <v>409</v>
      </c>
      <c r="C100" s="136" t="s">
        <v>160</v>
      </c>
      <c r="D100" s="71"/>
      <c r="E100" s="71"/>
      <c r="F100" s="71"/>
      <c r="G100" s="71"/>
      <c r="H100" s="71"/>
      <c r="I100" s="71"/>
      <c r="J100" s="71"/>
      <c r="K100" s="71"/>
      <c r="L100" s="68" t="s">
        <v>410</v>
      </c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114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</row>
    <row r="101" ht="14.25" customHeight="1" outlineLevel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99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</row>
    <row r="102" ht="14.25" customHeight="1">
      <c r="A102" s="101" t="s">
        <v>411</v>
      </c>
      <c r="B102" s="52"/>
      <c r="C102" s="52"/>
      <c r="D102" s="52"/>
      <c r="E102" s="52"/>
      <c r="F102" s="52"/>
      <c r="G102" s="52"/>
      <c r="H102" s="53"/>
      <c r="I102" s="53"/>
      <c r="J102" s="52"/>
      <c r="K102" s="52"/>
      <c r="L102" s="52"/>
      <c r="M102" s="53"/>
      <c r="N102" s="53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96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</row>
    <row r="103" ht="14.25" customHeight="1">
      <c r="A103" s="43" t="str">
        <f t="shared" ref="A103:A112" si="15">CONCATENATE("sacs:",RIGHT(C103,LEN(C103)-SEARCH(":",C103)),"_", RIGHT(B103,LEN(B103)-SEARCH(":", B103)) )</f>
        <v>sacs:LegalStatus_inScheme</v>
      </c>
      <c r="B103" s="50" t="s">
        <v>412</v>
      </c>
      <c r="C103" s="81" t="s">
        <v>165</v>
      </c>
      <c r="D103" s="43"/>
      <c r="E103" s="137" t="s">
        <v>413</v>
      </c>
      <c r="F103" s="43"/>
      <c r="G103" s="43"/>
      <c r="H103" s="43"/>
      <c r="I103" s="43"/>
      <c r="J103" s="43"/>
      <c r="K103" s="43"/>
      <c r="L103" s="43"/>
      <c r="M103" s="43"/>
      <c r="O103" s="138" t="s">
        <v>414</v>
      </c>
      <c r="Q103" s="56"/>
      <c r="S103" s="43"/>
      <c r="T103" s="43"/>
      <c r="U103" s="43"/>
      <c r="V103" s="43"/>
      <c r="W103" s="43"/>
      <c r="X103" s="43"/>
      <c r="Y103" s="139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</row>
    <row r="104" ht="14.25" customHeight="1">
      <c r="A104" s="43" t="str">
        <f t="shared" si="15"/>
        <v>sacs:IdentifierType_inScheme</v>
      </c>
      <c r="B104" s="50" t="s">
        <v>412</v>
      </c>
      <c r="C104" s="81" t="s">
        <v>172</v>
      </c>
      <c r="D104" s="43"/>
      <c r="E104" s="137" t="s">
        <v>413</v>
      </c>
      <c r="F104" s="43"/>
      <c r="G104" s="43"/>
      <c r="H104" s="43"/>
      <c r="I104" s="43"/>
      <c r="J104" s="43"/>
      <c r="K104" s="43"/>
      <c r="L104" s="43"/>
      <c r="M104" s="43"/>
      <c r="O104" s="138" t="s">
        <v>415</v>
      </c>
      <c r="Q104" s="56"/>
      <c r="S104" s="43"/>
      <c r="T104" s="43"/>
      <c r="U104" s="43"/>
      <c r="V104" s="43"/>
      <c r="W104" s="43"/>
      <c r="X104" s="43"/>
      <c r="Y104" s="139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</row>
    <row r="105" ht="14.25" customHeight="1">
      <c r="A105" s="43" t="str">
        <f t="shared" si="15"/>
        <v>sacs:PlaceType_inScheme</v>
      </c>
      <c r="B105" s="50" t="s">
        <v>412</v>
      </c>
      <c r="C105" s="81" t="s">
        <v>177</v>
      </c>
      <c r="D105" s="43"/>
      <c r="E105" s="137" t="s">
        <v>413</v>
      </c>
      <c r="F105" s="43"/>
      <c r="G105" s="43"/>
      <c r="H105" s="43"/>
      <c r="I105" s="43"/>
      <c r="J105" s="43"/>
      <c r="K105" s="43"/>
      <c r="L105" s="43"/>
      <c r="M105" s="43"/>
      <c r="O105" s="138" t="s">
        <v>416</v>
      </c>
      <c r="Q105" s="56"/>
      <c r="S105" s="43"/>
      <c r="T105" s="43"/>
      <c r="U105" s="43"/>
      <c r="V105" s="43"/>
      <c r="W105" s="43"/>
      <c r="X105" s="43"/>
      <c r="Y105" s="139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</row>
    <row r="106" ht="14.25" customHeight="1">
      <c r="A106" s="43" t="str">
        <f t="shared" si="15"/>
        <v>sacs:EventType_inScheme</v>
      </c>
      <c r="B106" s="50" t="s">
        <v>412</v>
      </c>
      <c r="C106" s="81" t="s">
        <v>182</v>
      </c>
      <c r="E106" s="137" t="s">
        <v>413</v>
      </c>
      <c r="F106" s="1"/>
      <c r="O106" s="138" t="s">
        <v>417</v>
      </c>
      <c r="Q106" s="56"/>
      <c r="Y106" s="140"/>
    </row>
    <row r="107" ht="14.25" customHeight="1">
      <c r="A107" s="43" t="str">
        <f t="shared" si="15"/>
        <v>sacs:OccupationType_inScheme</v>
      </c>
      <c r="B107" s="50" t="s">
        <v>412</v>
      </c>
      <c r="C107" s="81" t="s">
        <v>187</v>
      </c>
      <c r="E107" s="137" t="s">
        <v>413</v>
      </c>
      <c r="F107" s="1"/>
      <c r="O107" s="138" t="s">
        <v>418</v>
      </c>
      <c r="Q107" s="56"/>
      <c r="Y107" s="140"/>
    </row>
    <row r="108" ht="14.25" customHeight="1">
      <c r="A108" s="43" t="str">
        <f t="shared" si="15"/>
        <v>sacs:ActivityType_inScheme</v>
      </c>
      <c r="B108" s="50" t="s">
        <v>412</v>
      </c>
      <c r="C108" s="81" t="s">
        <v>192</v>
      </c>
      <c r="E108" s="137" t="s">
        <v>413</v>
      </c>
      <c r="F108" s="1"/>
      <c r="O108" s="138" t="s">
        <v>419</v>
      </c>
      <c r="Q108" s="56"/>
      <c r="Y108" s="140"/>
    </row>
    <row r="109" ht="14.25" customHeight="1">
      <c r="A109" s="43" t="str">
        <f t="shared" si="15"/>
        <v>sacs:CarrierType_inScheme</v>
      </c>
      <c r="B109" s="50" t="s">
        <v>412</v>
      </c>
      <c r="C109" s="81" t="s">
        <v>197</v>
      </c>
      <c r="E109" s="137" t="s">
        <v>413</v>
      </c>
      <c r="F109" s="1"/>
      <c r="O109" s="138" t="s">
        <v>420</v>
      </c>
      <c r="Q109" s="56"/>
      <c r="Y109" s="140"/>
    </row>
    <row r="110" ht="14.25" customHeight="1">
      <c r="A110" s="43" t="str">
        <f t="shared" si="15"/>
        <v>sacs:DemographicGroup_inScheme</v>
      </c>
      <c r="B110" s="50" t="s">
        <v>412</v>
      </c>
      <c r="C110" s="81" t="s">
        <v>202</v>
      </c>
      <c r="E110" s="137" t="s">
        <v>413</v>
      </c>
      <c r="F110" s="1"/>
      <c r="O110" s="138" t="s">
        <v>421</v>
      </c>
      <c r="Q110" s="56"/>
      <c r="Y110" s="140"/>
    </row>
    <row r="111" ht="14.25" customHeight="1">
      <c r="A111" s="43" t="str">
        <f t="shared" si="15"/>
        <v>sacs:CorporateBodyType_inScheme</v>
      </c>
      <c r="B111" s="50" t="s">
        <v>412</v>
      </c>
      <c r="C111" s="81" t="s">
        <v>207</v>
      </c>
      <c r="E111" s="137" t="s">
        <v>413</v>
      </c>
      <c r="F111" s="1"/>
      <c r="O111" s="138" t="s">
        <v>422</v>
      </c>
      <c r="Q111" s="56"/>
      <c r="Y111" s="140"/>
    </row>
    <row r="112" ht="14.25" customHeight="1">
      <c r="A112" s="43" t="str">
        <f t="shared" si="15"/>
        <v>sacs:TypeProcedure_inScheme</v>
      </c>
      <c r="B112" s="50" t="s">
        <v>412</v>
      </c>
      <c r="C112" s="81" t="s">
        <v>212</v>
      </c>
      <c r="E112" s="137" t="s">
        <v>413</v>
      </c>
      <c r="F112" s="1"/>
      <c r="O112" s="138" t="s">
        <v>423</v>
      </c>
      <c r="Q112" s="56"/>
      <c r="Y112" s="140"/>
    </row>
    <row r="113" ht="14.25" customHeight="1">
      <c r="E113" s="1"/>
      <c r="F113" s="1"/>
      <c r="Y113" s="140"/>
    </row>
    <row r="114" ht="14.25" customHeight="1">
      <c r="A114" s="101" t="s">
        <v>424</v>
      </c>
      <c r="B114" s="52"/>
      <c r="C114" s="52"/>
      <c r="D114" s="52"/>
      <c r="E114" s="52"/>
      <c r="F114" s="52"/>
      <c r="G114" s="52"/>
      <c r="H114" s="53"/>
      <c r="I114" s="53"/>
      <c r="J114" s="52"/>
      <c r="K114" s="52"/>
      <c r="L114" s="52"/>
      <c r="M114" s="53"/>
      <c r="N114" s="53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96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</row>
    <row r="115" ht="14.25" customHeight="1">
      <c r="A115" s="43" t="str">
        <f t="shared" ref="A115:A124" si="16">CONCATENATE("sacs:",RIGHT(C115,LEN(C115)-SEARCH(":",C115)),"_", RIGHT(B115,LEN(B115)-SEARCH(":", B115)) )</f>
        <v>sacs:LegalStatus_prefLabel</v>
      </c>
      <c r="B115" s="50" t="s">
        <v>425</v>
      </c>
      <c r="C115" s="81" t="s">
        <v>165</v>
      </c>
      <c r="D115" s="43"/>
      <c r="E115" s="119" t="s">
        <v>426</v>
      </c>
      <c r="F115" s="43"/>
      <c r="G115" s="43"/>
      <c r="H115" s="43"/>
      <c r="I115" s="43"/>
      <c r="J115" s="43"/>
      <c r="K115" s="43"/>
      <c r="L115" s="43"/>
      <c r="M115" s="43"/>
      <c r="O115" s="138"/>
      <c r="Q115" s="98" t="s">
        <v>261</v>
      </c>
      <c r="S115" s="43"/>
      <c r="T115" s="43"/>
      <c r="U115" s="43"/>
      <c r="V115" s="43"/>
      <c r="W115" s="43"/>
      <c r="X115" s="43"/>
      <c r="Y115" s="139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</row>
    <row r="116" ht="14.25" customHeight="1">
      <c r="A116" s="43" t="str">
        <f t="shared" si="16"/>
        <v>sacs:IdentifierType_prefLabel</v>
      </c>
      <c r="B116" s="50" t="s">
        <v>425</v>
      </c>
      <c r="C116" s="81" t="s">
        <v>172</v>
      </c>
      <c r="D116" s="43"/>
      <c r="E116" s="119" t="s">
        <v>426</v>
      </c>
      <c r="F116" s="43"/>
      <c r="G116" s="43"/>
      <c r="H116" s="43"/>
      <c r="I116" s="43"/>
      <c r="J116" s="43"/>
      <c r="K116" s="43"/>
      <c r="L116" s="43"/>
      <c r="M116" s="43"/>
      <c r="O116" s="138"/>
      <c r="Q116" s="98" t="s">
        <v>261</v>
      </c>
      <c r="S116" s="43"/>
      <c r="T116" s="43"/>
      <c r="U116" s="43"/>
      <c r="V116" s="43"/>
      <c r="W116" s="43"/>
      <c r="X116" s="43"/>
      <c r="Y116" s="139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</row>
    <row r="117" ht="14.25" customHeight="1">
      <c r="A117" s="43" t="str">
        <f t="shared" si="16"/>
        <v>sacs:PlaceType_prefLabel</v>
      </c>
      <c r="B117" s="50" t="s">
        <v>425</v>
      </c>
      <c r="C117" s="81" t="s">
        <v>177</v>
      </c>
      <c r="D117" s="43"/>
      <c r="E117" s="119" t="s">
        <v>426</v>
      </c>
      <c r="F117" s="43"/>
      <c r="G117" s="43"/>
      <c r="H117" s="43"/>
      <c r="I117" s="43"/>
      <c r="J117" s="43"/>
      <c r="K117" s="43"/>
      <c r="L117" s="43"/>
      <c r="M117" s="43"/>
      <c r="O117" s="138"/>
      <c r="Q117" s="98" t="s">
        <v>261</v>
      </c>
      <c r="S117" s="43"/>
      <c r="T117" s="43"/>
      <c r="U117" s="43"/>
      <c r="V117" s="43"/>
      <c r="W117" s="43"/>
      <c r="X117" s="43"/>
      <c r="Y117" s="139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</row>
    <row r="118" ht="14.25" customHeight="1">
      <c r="A118" s="43" t="str">
        <f t="shared" si="16"/>
        <v>sacs:EventType_prefLabel</v>
      </c>
      <c r="B118" s="50" t="s">
        <v>425</v>
      </c>
      <c r="C118" s="81" t="s">
        <v>182</v>
      </c>
      <c r="E118" s="119" t="s">
        <v>426</v>
      </c>
      <c r="F118" s="1"/>
      <c r="O118" s="138"/>
      <c r="Q118" s="98" t="s">
        <v>261</v>
      </c>
      <c r="Y118" s="140"/>
    </row>
    <row r="119" ht="14.25" customHeight="1">
      <c r="A119" s="43" t="str">
        <f t="shared" si="16"/>
        <v>sacs:OccupationType_prefLabel</v>
      </c>
      <c r="B119" s="50" t="s">
        <v>425</v>
      </c>
      <c r="C119" s="81" t="s">
        <v>187</v>
      </c>
      <c r="E119" s="119" t="s">
        <v>426</v>
      </c>
      <c r="F119" s="1"/>
      <c r="O119" s="138"/>
      <c r="Q119" s="98" t="s">
        <v>261</v>
      </c>
      <c r="Y119" s="140"/>
    </row>
    <row r="120" ht="14.25" customHeight="1">
      <c r="A120" s="43" t="str">
        <f t="shared" si="16"/>
        <v>sacs:ActivityType_prefLabel</v>
      </c>
      <c r="B120" s="50" t="s">
        <v>425</v>
      </c>
      <c r="C120" s="81" t="s">
        <v>192</v>
      </c>
      <c r="E120" s="119" t="s">
        <v>426</v>
      </c>
      <c r="F120" s="1"/>
      <c r="O120" s="138"/>
      <c r="Q120" s="98" t="s">
        <v>261</v>
      </c>
      <c r="Y120" s="140"/>
    </row>
    <row r="121" ht="14.25" customHeight="1">
      <c r="A121" s="43" t="str">
        <f t="shared" si="16"/>
        <v>sacs:CarrierType_prefLabel</v>
      </c>
      <c r="B121" s="50" t="s">
        <v>425</v>
      </c>
      <c r="C121" s="81" t="s">
        <v>197</v>
      </c>
      <c r="E121" s="119" t="s">
        <v>426</v>
      </c>
      <c r="F121" s="1"/>
      <c r="O121" s="138"/>
      <c r="Q121" s="98" t="s">
        <v>261</v>
      </c>
      <c r="Y121" s="140"/>
    </row>
    <row r="122" ht="14.25" customHeight="1">
      <c r="A122" s="43" t="str">
        <f t="shared" si="16"/>
        <v>sacs:DemographicGroup_prefLabel</v>
      </c>
      <c r="B122" s="50" t="s">
        <v>425</v>
      </c>
      <c r="C122" s="81" t="s">
        <v>202</v>
      </c>
      <c r="E122" s="119" t="s">
        <v>426</v>
      </c>
      <c r="F122" s="1"/>
      <c r="O122" s="138"/>
      <c r="Q122" s="98" t="s">
        <v>261</v>
      </c>
      <c r="Y122" s="140"/>
    </row>
    <row r="123" ht="14.25" customHeight="1">
      <c r="A123" s="43" t="str">
        <f t="shared" si="16"/>
        <v>sacs:CorporateBodyType_prefLabel</v>
      </c>
      <c r="B123" s="50" t="s">
        <v>425</v>
      </c>
      <c r="C123" s="81" t="s">
        <v>207</v>
      </c>
      <c r="E123" s="119" t="s">
        <v>426</v>
      </c>
      <c r="F123" s="1"/>
      <c r="O123" s="138"/>
      <c r="Q123" s="98" t="s">
        <v>261</v>
      </c>
      <c r="Y123" s="140"/>
    </row>
    <row r="124" ht="14.25" customHeight="1">
      <c r="A124" s="43" t="str">
        <f t="shared" si="16"/>
        <v>sacs:TypeProcedure_prefLabel</v>
      </c>
      <c r="B124" s="50" t="s">
        <v>425</v>
      </c>
      <c r="C124" s="81" t="s">
        <v>212</v>
      </c>
      <c r="E124" s="119" t="s">
        <v>426</v>
      </c>
      <c r="F124" s="1"/>
      <c r="O124" s="138"/>
      <c r="Q124" s="98" t="s">
        <v>261</v>
      </c>
      <c r="Y124" s="140"/>
    </row>
    <row r="125" ht="14.25" customHeight="1">
      <c r="E125" s="1"/>
      <c r="F125" s="1"/>
      <c r="Y125" s="140"/>
    </row>
    <row r="126" ht="14.25" customHeight="1">
      <c r="E126" s="1"/>
      <c r="F126" s="1"/>
      <c r="Y126" s="140"/>
    </row>
    <row r="127" ht="14.25" customHeight="1">
      <c r="E127" s="1"/>
      <c r="F127" s="1"/>
      <c r="Y127" s="140"/>
    </row>
    <row r="128" ht="14.25" customHeight="1">
      <c r="E128" s="1"/>
      <c r="F128" s="1"/>
      <c r="Y128" s="140"/>
    </row>
    <row r="129" ht="14.25" customHeight="1">
      <c r="E129" s="1"/>
      <c r="F129" s="1"/>
      <c r="Y129" s="140"/>
    </row>
    <row r="130" ht="14.25" customHeight="1">
      <c r="E130" s="1"/>
      <c r="F130" s="1"/>
      <c r="Y130" s="140"/>
    </row>
    <row r="131" ht="14.25" customHeight="1">
      <c r="E131" s="1"/>
      <c r="F131" s="1"/>
      <c r="Y131" s="140"/>
    </row>
    <row r="132" ht="14.25" customHeight="1">
      <c r="E132" s="1"/>
      <c r="F132" s="1"/>
      <c r="Y132" s="140"/>
    </row>
    <row r="133" ht="14.25" customHeight="1">
      <c r="E133" s="1"/>
      <c r="F133" s="1"/>
      <c r="Y133" s="140"/>
    </row>
    <row r="134" ht="14.25" customHeight="1">
      <c r="E134" s="1"/>
      <c r="F134" s="1"/>
      <c r="Y134" s="140"/>
    </row>
    <row r="135" ht="14.25" customHeight="1">
      <c r="E135" s="1"/>
      <c r="F135" s="1"/>
      <c r="Y135" s="140"/>
    </row>
    <row r="136" ht="14.25" customHeight="1">
      <c r="E136" s="1"/>
      <c r="F136" s="1"/>
      <c r="Y136" s="140"/>
    </row>
    <row r="137" ht="14.25" customHeight="1">
      <c r="E137" s="1"/>
      <c r="F137" s="1"/>
      <c r="Y137" s="140"/>
    </row>
    <row r="138" ht="14.25" customHeight="1">
      <c r="E138" s="1"/>
      <c r="F138" s="1"/>
      <c r="Y138" s="140"/>
    </row>
    <row r="139" ht="14.25" customHeight="1">
      <c r="E139" s="1"/>
      <c r="F139" s="1"/>
      <c r="Y139" s="140"/>
    </row>
    <row r="140" ht="14.25" customHeight="1">
      <c r="E140" s="1"/>
      <c r="F140" s="1"/>
      <c r="Y140" s="140"/>
    </row>
    <row r="141" ht="14.25" customHeight="1">
      <c r="E141" s="1"/>
      <c r="F141" s="1"/>
      <c r="Y141" s="140"/>
    </row>
    <row r="142" ht="14.25" customHeight="1">
      <c r="E142" s="1"/>
      <c r="F142" s="1"/>
      <c r="Y142" s="140"/>
    </row>
    <row r="143" ht="14.25" customHeight="1">
      <c r="E143" s="1"/>
      <c r="F143" s="1"/>
      <c r="Y143" s="140"/>
    </row>
    <row r="144" ht="14.25" customHeight="1">
      <c r="E144" s="1"/>
      <c r="F144" s="1"/>
      <c r="Y144" s="140"/>
    </row>
    <row r="145" ht="14.25" customHeight="1">
      <c r="E145" s="1"/>
      <c r="F145" s="1"/>
      <c r="Y145" s="140"/>
    </row>
    <row r="146" ht="14.25" customHeight="1">
      <c r="E146" s="1"/>
      <c r="F146" s="1"/>
      <c r="Y146" s="140"/>
    </row>
    <row r="147" ht="14.25" customHeight="1">
      <c r="E147" s="1"/>
      <c r="F147" s="1"/>
      <c r="Y147" s="140"/>
    </row>
    <row r="148" ht="14.25" customHeight="1">
      <c r="E148" s="1"/>
      <c r="F148" s="1"/>
      <c r="Y148" s="140"/>
    </row>
    <row r="149" ht="14.25" customHeight="1">
      <c r="E149" s="1"/>
      <c r="F149" s="1"/>
      <c r="Y149" s="140"/>
    </row>
    <row r="150" ht="14.25" customHeight="1">
      <c r="E150" s="1"/>
      <c r="F150" s="1"/>
      <c r="Y150" s="140"/>
    </row>
    <row r="151" ht="14.25" customHeight="1">
      <c r="E151" s="1"/>
      <c r="F151" s="1"/>
      <c r="Y151" s="140"/>
    </row>
    <row r="152" ht="14.25" customHeight="1">
      <c r="E152" s="1"/>
      <c r="F152" s="1"/>
      <c r="Y152" s="140"/>
    </row>
    <row r="153" ht="14.25" customHeight="1">
      <c r="E153" s="1"/>
      <c r="F153" s="1"/>
      <c r="Y153" s="140"/>
    </row>
    <row r="154" ht="14.25" customHeight="1">
      <c r="E154" s="1"/>
      <c r="F154" s="1"/>
      <c r="Y154" s="140"/>
    </row>
    <row r="155" ht="14.25" customHeight="1">
      <c r="E155" s="1"/>
      <c r="F155" s="1"/>
      <c r="Y155" s="140"/>
    </row>
    <row r="156" ht="14.25" customHeight="1">
      <c r="E156" s="1"/>
      <c r="F156" s="1"/>
      <c r="Y156" s="140"/>
    </row>
    <row r="157" ht="14.25" customHeight="1">
      <c r="E157" s="1"/>
      <c r="F157" s="1"/>
      <c r="Y157" s="140"/>
    </row>
    <row r="158" ht="14.25" customHeight="1">
      <c r="E158" s="1"/>
      <c r="F158" s="1"/>
      <c r="Y158" s="140"/>
    </row>
    <row r="159" ht="14.25" customHeight="1">
      <c r="E159" s="1"/>
      <c r="F159" s="1"/>
      <c r="Y159" s="140"/>
    </row>
    <row r="160" ht="14.25" customHeight="1">
      <c r="E160" s="1"/>
      <c r="F160" s="1"/>
      <c r="Y160" s="140"/>
    </row>
    <row r="161" ht="14.25" customHeight="1">
      <c r="E161" s="1"/>
      <c r="F161" s="1"/>
      <c r="Y161" s="140"/>
    </row>
    <row r="162" ht="14.25" customHeight="1">
      <c r="E162" s="1"/>
      <c r="F162" s="1"/>
      <c r="Y162" s="140"/>
    </row>
    <row r="163" ht="14.25" customHeight="1">
      <c r="E163" s="1"/>
      <c r="F163" s="1"/>
      <c r="Y163" s="140"/>
    </row>
    <row r="164" ht="14.25" customHeight="1">
      <c r="E164" s="1"/>
      <c r="F164" s="1"/>
      <c r="Y164" s="140"/>
    </row>
    <row r="165" ht="14.25" customHeight="1">
      <c r="E165" s="1"/>
      <c r="F165" s="1"/>
      <c r="Y165" s="140"/>
    </row>
    <row r="166" ht="14.25" customHeight="1">
      <c r="E166" s="1"/>
      <c r="F166" s="1"/>
      <c r="Y166" s="140"/>
    </row>
    <row r="167" ht="14.25" customHeight="1">
      <c r="E167" s="1"/>
      <c r="F167" s="1"/>
      <c r="Y167" s="140"/>
    </row>
    <row r="168" ht="14.25" customHeight="1">
      <c r="E168" s="1"/>
      <c r="F168" s="1"/>
      <c r="Y168" s="140"/>
    </row>
    <row r="169" ht="14.25" customHeight="1">
      <c r="E169" s="1"/>
      <c r="F169" s="1"/>
      <c r="Y169" s="140"/>
    </row>
    <row r="170" ht="14.25" customHeight="1">
      <c r="E170" s="1"/>
      <c r="F170" s="1"/>
      <c r="Y170" s="140"/>
    </row>
    <row r="171" ht="14.25" customHeight="1">
      <c r="E171" s="1"/>
      <c r="F171" s="1"/>
      <c r="Y171" s="140"/>
    </row>
    <row r="172" ht="14.25" customHeight="1">
      <c r="E172" s="1"/>
      <c r="F172" s="1"/>
      <c r="Y172" s="140"/>
    </row>
    <row r="173" ht="14.25" customHeight="1">
      <c r="E173" s="1"/>
      <c r="F173" s="1"/>
      <c r="Y173" s="140"/>
    </row>
    <row r="174" ht="14.25" customHeight="1">
      <c r="E174" s="1"/>
      <c r="F174" s="1"/>
      <c r="Y174" s="140"/>
    </row>
    <row r="175" ht="14.25" customHeight="1">
      <c r="E175" s="1"/>
      <c r="F175" s="1"/>
      <c r="Y175" s="140"/>
    </row>
    <row r="176" ht="14.25" customHeight="1">
      <c r="E176" s="1"/>
      <c r="F176" s="1"/>
      <c r="Y176" s="140"/>
    </row>
    <row r="177" ht="14.25" customHeight="1">
      <c r="E177" s="1"/>
      <c r="F177" s="1"/>
      <c r="Y177" s="140"/>
    </row>
    <row r="178" ht="14.25" customHeight="1">
      <c r="E178" s="1"/>
      <c r="F178" s="1"/>
      <c r="Y178" s="140"/>
    </row>
    <row r="179" ht="14.25" customHeight="1">
      <c r="E179" s="1"/>
      <c r="F179" s="1"/>
      <c r="Y179" s="140"/>
    </row>
    <row r="180" ht="14.25" customHeight="1">
      <c r="E180" s="1"/>
      <c r="F180" s="1"/>
      <c r="Y180" s="140"/>
    </row>
    <row r="181" ht="14.25" customHeight="1">
      <c r="E181" s="1"/>
      <c r="F181" s="1"/>
      <c r="Y181" s="140"/>
    </row>
    <row r="182" ht="14.25" customHeight="1">
      <c r="E182" s="1"/>
      <c r="F182" s="1"/>
      <c r="Y182" s="140"/>
    </row>
    <row r="183" ht="14.25" customHeight="1">
      <c r="E183" s="1"/>
      <c r="F183" s="1"/>
      <c r="Y183" s="140"/>
    </row>
    <row r="184" ht="14.25" customHeight="1">
      <c r="E184" s="1"/>
      <c r="F184" s="1"/>
      <c r="Y184" s="140"/>
    </row>
    <row r="185" ht="14.25" customHeight="1">
      <c r="E185" s="1"/>
      <c r="F185" s="1"/>
      <c r="Y185" s="140"/>
    </row>
    <row r="186" ht="14.25" customHeight="1">
      <c r="E186" s="1"/>
      <c r="F186" s="1"/>
      <c r="Y186" s="140"/>
    </row>
    <row r="187" ht="14.25" customHeight="1">
      <c r="E187" s="1"/>
      <c r="F187" s="1"/>
      <c r="Y187" s="140"/>
    </row>
    <row r="188" ht="14.25" customHeight="1">
      <c r="E188" s="1"/>
      <c r="F188" s="1"/>
      <c r="Y188" s="140"/>
    </row>
    <row r="189" ht="14.25" customHeight="1">
      <c r="E189" s="1"/>
      <c r="F189" s="1"/>
      <c r="Y189" s="140"/>
    </row>
    <row r="190" ht="14.25" customHeight="1">
      <c r="E190" s="1"/>
      <c r="F190" s="1"/>
      <c r="Y190" s="140"/>
    </row>
    <row r="191" ht="14.25" customHeight="1">
      <c r="E191" s="1"/>
      <c r="F191" s="1"/>
      <c r="Y191" s="140"/>
    </row>
    <row r="192" ht="14.25" customHeight="1">
      <c r="E192" s="1"/>
      <c r="F192" s="1"/>
      <c r="Y192" s="140"/>
    </row>
    <row r="193" ht="14.25" customHeight="1">
      <c r="E193" s="1"/>
      <c r="F193" s="1"/>
      <c r="Y193" s="140"/>
    </row>
    <row r="194" ht="14.25" customHeight="1">
      <c r="E194" s="1"/>
      <c r="F194" s="1"/>
      <c r="Y194" s="140"/>
    </row>
    <row r="195" ht="14.25" customHeight="1">
      <c r="E195" s="1"/>
      <c r="F195" s="1"/>
      <c r="Y195" s="140"/>
    </row>
    <row r="196" ht="14.25" customHeight="1">
      <c r="E196" s="1"/>
      <c r="F196" s="1"/>
      <c r="Y196" s="140"/>
    </row>
    <row r="197" ht="14.25" customHeight="1">
      <c r="E197" s="1"/>
      <c r="F197" s="1"/>
      <c r="Y197" s="140"/>
    </row>
    <row r="198" ht="14.25" customHeight="1">
      <c r="E198" s="1"/>
      <c r="F198" s="1"/>
      <c r="Y198" s="140"/>
    </row>
    <row r="199" ht="14.25" customHeight="1">
      <c r="E199" s="1"/>
      <c r="F199" s="1"/>
      <c r="Y199" s="140"/>
    </row>
    <row r="200" ht="14.25" customHeight="1">
      <c r="E200" s="1"/>
      <c r="F200" s="1"/>
      <c r="Y200" s="140"/>
    </row>
    <row r="201" ht="14.25" customHeight="1">
      <c r="E201" s="1"/>
      <c r="F201" s="1"/>
      <c r="Y201" s="140"/>
    </row>
    <row r="202" ht="14.25" customHeight="1">
      <c r="E202" s="1"/>
      <c r="F202" s="1"/>
      <c r="Y202" s="140"/>
    </row>
    <row r="203" ht="14.25" customHeight="1">
      <c r="E203" s="1"/>
      <c r="F203" s="1"/>
      <c r="Y203" s="140"/>
    </row>
    <row r="204" ht="14.25" customHeight="1">
      <c r="E204" s="1"/>
      <c r="F204" s="1"/>
      <c r="Y204" s="140"/>
    </row>
    <row r="205" ht="14.25" customHeight="1">
      <c r="E205" s="1"/>
      <c r="F205" s="1"/>
      <c r="Y205" s="140"/>
    </row>
    <row r="206" ht="14.25" customHeight="1">
      <c r="E206" s="1"/>
      <c r="F206" s="1"/>
      <c r="Y206" s="140"/>
    </row>
    <row r="207" ht="14.25" customHeight="1">
      <c r="E207" s="1"/>
      <c r="F207" s="1"/>
      <c r="Y207" s="140"/>
    </row>
    <row r="208" ht="14.25" customHeight="1">
      <c r="E208" s="1"/>
      <c r="F208" s="1"/>
      <c r="Y208" s="140"/>
    </row>
    <row r="209" ht="14.25" customHeight="1">
      <c r="E209" s="1"/>
      <c r="F209" s="1"/>
      <c r="Y209" s="140"/>
    </row>
    <row r="210" ht="14.25" customHeight="1">
      <c r="E210" s="1"/>
      <c r="F210" s="1"/>
      <c r="Y210" s="140"/>
    </row>
    <row r="211" ht="14.25" customHeight="1">
      <c r="E211" s="1"/>
      <c r="F211" s="1"/>
      <c r="Y211" s="140"/>
    </row>
    <row r="212" ht="14.25" customHeight="1">
      <c r="E212" s="1"/>
      <c r="F212" s="1"/>
      <c r="Y212" s="140"/>
    </row>
    <row r="213" ht="14.25" customHeight="1">
      <c r="E213" s="1"/>
      <c r="F213" s="1"/>
      <c r="Y213" s="140"/>
    </row>
    <row r="214" ht="14.25" customHeight="1">
      <c r="E214" s="1"/>
      <c r="F214" s="1"/>
      <c r="Y214" s="140"/>
    </row>
    <row r="215" ht="14.25" customHeight="1">
      <c r="E215" s="1"/>
      <c r="F215" s="1"/>
      <c r="Y215" s="140"/>
    </row>
    <row r="216" ht="14.25" customHeight="1">
      <c r="E216" s="1"/>
      <c r="F216" s="1"/>
      <c r="Y216" s="140"/>
    </row>
    <row r="217" ht="14.25" customHeight="1">
      <c r="E217" s="1"/>
      <c r="F217" s="1"/>
      <c r="Y217" s="140"/>
    </row>
    <row r="218" ht="14.25" customHeight="1">
      <c r="E218" s="1"/>
      <c r="F218" s="1"/>
      <c r="Y218" s="140"/>
    </row>
    <row r="219" ht="14.25" customHeight="1">
      <c r="E219" s="1"/>
      <c r="F219" s="1"/>
      <c r="Y219" s="140"/>
    </row>
    <row r="220" ht="14.25" customHeight="1">
      <c r="E220" s="1"/>
      <c r="F220" s="1"/>
      <c r="Y220" s="140"/>
    </row>
    <row r="221" ht="14.25" customHeight="1">
      <c r="E221" s="1"/>
      <c r="F221" s="1"/>
      <c r="Y221" s="140"/>
    </row>
    <row r="222" ht="14.25" customHeight="1">
      <c r="E222" s="1"/>
      <c r="F222" s="1"/>
      <c r="Y222" s="140"/>
    </row>
    <row r="223" ht="14.25" customHeight="1">
      <c r="E223" s="1"/>
      <c r="F223" s="1"/>
      <c r="Y223" s="140"/>
    </row>
    <row r="224" ht="14.25" customHeight="1">
      <c r="E224" s="1"/>
      <c r="F224" s="1"/>
      <c r="Y224" s="140"/>
    </row>
    <row r="225" ht="14.25" customHeight="1">
      <c r="E225" s="1"/>
      <c r="F225" s="1"/>
      <c r="Y225" s="140"/>
    </row>
    <row r="226" ht="14.25" customHeight="1">
      <c r="E226" s="1"/>
      <c r="F226" s="1"/>
      <c r="Y226" s="140"/>
    </row>
    <row r="227" ht="14.25" customHeight="1">
      <c r="E227" s="1"/>
      <c r="F227" s="1"/>
      <c r="Y227" s="140"/>
    </row>
    <row r="228" ht="14.25" customHeight="1">
      <c r="E228" s="1"/>
      <c r="F228" s="1"/>
      <c r="Y228" s="140"/>
    </row>
    <row r="229" ht="14.25" customHeight="1">
      <c r="E229" s="1"/>
      <c r="F229" s="1"/>
      <c r="Y229" s="140"/>
    </row>
    <row r="230" ht="14.25" customHeight="1">
      <c r="E230" s="1"/>
      <c r="F230" s="1"/>
      <c r="Y230" s="140"/>
    </row>
    <row r="231" ht="14.25" customHeight="1">
      <c r="E231" s="1"/>
      <c r="F231" s="1"/>
      <c r="Y231" s="140"/>
    </row>
    <row r="232" ht="14.25" customHeight="1">
      <c r="E232" s="1"/>
      <c r="F232" s="1"/>
      <c r="Y232" s="140"/>
    </row>
    <row r="233" ht="14.25" customHeight="1">
      <c r="E233" s="1"/>
      <c r="F233" s="1"/>
      <c r="Y233" s="140"/>
    </row>
    <row r="234" ht="14.25" customHeight="1">
      <c r="E234" s="1"/>
      <c r="F234" s="1"/>
      <c r="Y234" s="140"/>
    </row>
    <row r="235" ht="14.25" customHeight="1">
      <c r="E235" s="1"/>
      <c r="F235" s="1"/>
      <c r="Y235" s="140"/>
    </row>
    <row r="236" ht="14.25" customHeight="1">
      <c r="E236" s="1"/>
      <c r="F236" s="1"/>
      <c r="Y236" s="140"/>
    </row>
    <row r="237" ht="14.25" customHeight="1">
      <c r="E237" s="1"/>
      <c r="F237" s="1"/>
      <c r="Y237" s="140"/>
    </row>
    <row r="238" ht="14.25" customHeight="1">
      <c r="E238" s="1"/>
      <c r="F238" s="1"/>
      <c r="Y238" s="140"/>
    </row>
    <row r="239" ht="14.25" customHeight="1">
      <c r="E239" s="1"/>
      <c r="F239" s="1"/>
      <c r="Y239" s="140"/>
    </row>
    <row r="240" ht="14.25" customHeight="1">
      <c r="E240" s="1"/>
      <c r="F240" s="1"/>
      <c r="Y240" s="140"/>
    </row>
    <row r="241" ht="14.25" customHeight="1">
      <c r="E241" s="1"/>
      <c r="F241" s="1"/>
      <c r="Y241" s="140"/>
    </row>
    <row r="242" ht="14.25" customHeight="1">
      <c r="E242" s="1"/>
      <c r="F242" s="1"/>
      <c r="Y242" s="140"/>
    </row>
    <row r="243" ht="14.25" customHeight="1">
      <c r="E243" s="1"/>
      <c r="F243" s="1"/>
      <c r="Y243" s="140"/>
    </row>
    <row r="244" ht="14.25" customHeight="1">
      <c r="E244" s="1"/>
      <c r="F244" s="1"/>
      <c r="Y244" s="140"/>
    </row>
    <row r="245" ht="14.25" customHeight="1">
      <c r="E245" s="1"/>
      <c r="F245" s="1"/>
      <c r="Y245" s="140"/>
    </row>
    <row r="246" ht="14.25" customHeight="1">
      <c r="E246" s="1"/>
      <c r="F246" s="1"/>
      <c r="Y246" s="140"/>
    </row>
    <row r="247" ht="14.25" customHeight="1">
      <c r="E247" s="1"/>
      <c r="F247" s="1"/>
      <c r="Y247" s="140"/>
    </row>
    <row r="248" ht="14.25" customHeight="1">
      <c r="E248" s="1"/>
      <c r="F248" s="1"/>
      <c r="Y248" s="140"/>
    </row>
    <row r="249" ht="14.25" customHeight="1">
      <c r="E249" s="1"/>
      <c r="F249" s="1"/>
      <c r="Y249" s="140"/>
    </row>
    <row r="250" ht="14.25" customHeight="1">
      <c r="E250" s="1"/>
      <c r="F250" s="1"/>
      <c r="Y250" s="140"/>
    </row>
    <row r="251" ht="14.25" customHeight="1">
      <c r="E251" s="1"/>
      <c r="F251" s="1"/>
      <c r="Y251" s="140"/>
    </row>
    <row r="252" ht="14.25" customHeight="1">
      <c r="E252" s="1"/>
      <c r="F252" s="1"/>
      <c r="Y252" s="140"/>
    </row>
    <row r="253" ht="14.25" customHeight="1">
      <c r="E253" s="1"/>
      <c r="F253" s="1"/>
      <c r="Y253" s="140"/>
    </row>
    <row r="254" ht="14.25" customHeight="1">
      <c r="E254" s="1"/>
      <c r="F254" s="1"/>
      <c r="Y254" s="140"/>
    </row>
    <row r="255" ht="14.25" customHeight="1">
      <c r="E255" s="1"/>
      <c r="F255" s="1"/>
      <c r="Y255" s="140"/>
    </row>
    <row r="256" ht="14.25" customHeight="1">
      <c r="E256" s="1"/>
      <c r="F256" s="1"/>
      <c r="Y256" s="140"/>
    </row>
    <row r="257" ht="14.25" customHeight="1">
      <c r="E257" s="1"/>
      <c r="F257" s="1"/>
      <c r="Y257" s="140"/>
    </row>
    <row r="258" ht="14.25" customHeight="1">
      <c r="E258" s="1"/>
      <c r="F258" s="1"/>
      <c r="Y258" s="140"/>
    </row>
    <row r="259" ht="14.25" customHeight="1">
      <c r="E259" s="1"/>
      <c r="F259" s="1"/>
      <c r="Y259" s="140"/>
    </row>
    <row r="260" ht="14.25" customHeight="1">
      <c r="E260" s="1"/>
      <c r="F260" s="1"/>
      <c r="Y260" s="140"/>
    </row>
    <row r="261" ht="14.25" customHeight="1">
      <c r="E261" s="1"/>
      <c r="F261" s="1"/>
      <c r="Y261" s="140"/>
    </row>
    <row r="262" ht="14.25" customHeight="1">
      <c r="E262" s="1"/>
      <c r="F262" s="1"/>
      <c r="Y262" s="140"/>
    </row>
    <row r="263" ht="14.25" customHeight="1">
      <c r="E263" s="1"/>
      <c r="F263" s="1"/>
      <c r="Y263" s="140"/>
    </row>
    <row r="264" ht="14.25" customHeight="1">
      <c r="E264" s="1"/>
      <c r="F264" s="1"/>
      <c r="Y264" s="140"/>
    </row>
    <row r="265" ht="14.25" customHeight="1">
      <c r="E265" s="1"/>
      <c r="F265" s="1"/>
      <c r="Y265" s="140"/>
    </row>
    <row r="266" ht="14.25" customHeight="1">
      <c r="E266" s="1"/>
      <c r="F266" s="1"/>
      <c r="Y266" s="140"/>
    </row>
    <row r="267" ht="14.25" customHeight="1">
      <c r="E267" s="1"/>
      <c r="F267" s="1"/>
      <c r="Y267" s="140"/>
    </row>
    <row r="268" ht="14.25" customHeight="1">
      <c r="E268" s="1"/>
      <c r="F268" s="1"/>
      <c r="Y268" s="140"/>
    </row>
    <row r="269" ht="14.25" customHeight="1">
      <c r="E269" s="1"/>
      <c r="F269" s="1"/>
      <c r="Y269" s="140"/>
    </row>
    <row r="270" ht="14.25" customHeight="1">
      <c r="E270" s="1"/>
      <c r="F270" s="1"/>
      <c r="Y270" s="140"/>
    </row>
    <row r="271" ht="14.25" customHeight="1">
      <c r="E271" s="1"/>
      <c r="F271" s="1"/>
      <c r="Y271" s="140"/>
    </row>
    <row r="272" ht="14.25" customHeight="1">
      <c r="E272" s="1"/>
      <c r="F272" s="1"/>
      <c r="Y272" s="140"/>
    </row>
    <row r="273" ht="14.25" customHeight="1">
      <c r="E273" s="1"/>
      <c r="F273" s="1"/>
      <c r="Y273" s="140"/>
    </row>
    <row r="274" ht="14.25" customHeight="1">
      <c r="E274" s="1"/>
      <c r="F274" s="1"/>
      <c r="Y274" s="140"/>
    </row>
    <row r="275" ht="14.25" customHeight="1">
      <c r="E275" s="1"/>
      <c r="F275" s="1"/>
      <c r="Y275" s="140"/>
    </row>
    <row r="276" ht="14.25" customHeight="1">
      <c r="E276" s="1"/>
      <c r="F276" s="1"/>
      <c r="Y276" s="140"/>
    </row>
    <row r="277" ht="14.25" customHeight="1">
      <c r="E277" s="1"/>
      <c r="F277" s="1"/>
      <c r="Y277" s="140"/>
    </row>
    <row r="278" ht="14.25" customHeight="1">
      <c r="E278" s="1"/>
      <c r="F278" s="1"/>
      <c r="Y278" s="140"/>
    </row>
    <row r="279" ht="14.25" customHeight="1">
      <c r="E279" s="1"/>
      <c r="F279" s="1"/>
      <c r="Y279" s="140"/>
    </row>
    <row r="280" ht="14.25" customHeight="1">
      <c r="E280" s="1"/>
      <c r="F280" s="1"/>
      <c r="Y280" s="140"/>
    </row>
    <row r="281" ht="14.25" customHeight="1">
      <c r="E281" s="1"/>
      <c r="F281" s="1"/>
      <c r="Y281" s="140"/>
    </row>
    <row r="282" ht="14.25" customHeight="1">
      <c r="E282" s="1"/>
      <c r="F282" s="1"/>
      <c r="Y282" s="140"/>
    </row>
    <row r="283" ht="14.25" customHeight="1">
      <c r="E283" s="1"/>
      <c r="F283" s="1"/>
      <c r="Y283" s="140"/>
    </row>
    <row r="284" ht="14.25" customHeight="1">
      <c r="E284" s="1"/>
      <c r="F284" s="1"/>
      <c r="Y284" s="140"/>
    </row>
    <row r="285" ht="14.25" customHeight="1">
      <c r="E285" s="1"/>
      <c r="F285" s="1"/>
      <c r="Y285" s="140"/>
    </row>
    <row r="286" ht="14.25" customHeight="1">
      <c r="E286" s="1"/>
      <c r="F286" s="1"/>
      <c r="Y286" s="140"/>
    </row>
    <row r="287" ht="14.25" customHeight="1">
      <c r="E287" s="1"/>
      <c r="F287" s="1"/>
      <c r="Y287" s="140"/>
    </row>
    <row r="288" ht="14.25" customHeight="1">
      <c r="E288" s="1"/>
      <c r="F288" s="1"/>
      <c r="Y288" s="140"/>
    </row>
    <row r="289" ht="14.25" customHeight="1">
      <c r="E289" s="1"/>
      <c r="F289" s="1"/>
      <c r="Y289" s="140"/>
    </row>
    <row r="290" ht="14.25" customHeight="1">
      <c r="E290" s="1"/>
      <c r="F290" s="1"/>
      <c r="Y290" s="140"/>
    </row>
    <row r="291" ht="14.25" customHeight="1">
      <c r="E291" s="1"/>
      <c r="F291" s="1"/>
      <c r="Y291" s="140"/>
    </row>
    <row r="292" ht="14.25" customHeight="1">
      <c r="E292" s="1"/>
      <c r="F292" s="1"/>
      <c r="Y292" s="140"/>
    </row>
    <row r="293" ht="14.25" customHeight="1">
      <c r="E293" s="1"/>
      <c r="F293" s="1"/>
      <c r="Y293" s="140"/>
    </row>
    <row r="294" ht="14.25" customHeight="1">
      <c r="E294" s="1"/>
      <c r="F294" s="1"/>
      <c r="Y294" s="140"/>
    </row>
    <row r="295" ht="14.25" customHeight="1">
      <c r="E295" s="1"/>
      <c r="F295" s="1"/>
      <c r="Y295" s="140"/>
    </row>
    <row r="296" ht="14.25" customHeight="1">
      <c r="E296" s="1"/>
      <c r="F296" s="1"/>
      <c r="Y296" s="140"/>
    </row>
    <row r="297" ht="14.25" customHeight="1">
      <c r="E297" s="1"/>
      <c r="F297" s="1"/>
      <c r="Y297" s="140"/>
    </row>
    <row r="298" ht="14.25" customHeight="1">
      <c r="E298" s="1"/>
      <c r="F298" s="1"/>
      <c r="Y298" s="140"/>
    </row>
    <row r="299" ht="14.25" customHeight="1">
      <c r="E299" s="1"/>
      <c r="F299" s="1"/>
      <c r="Y299" s="140"/>
    </row>
    <row r="300" ht="14.25" customHeight="1">
      <c r="E300" s="1"/>
      <c r="F300" s="1"/>
      <c r="Y300" s="140"/>
    </row>
    <row r="301" ht="14.25" customHeight="1">
      <c r="E301" s="1"/>
      <c r="F301" s="1"/>
      <c r="Y301" s="140"/>
    </row>
    <row r="302" ht="14.25" customHeight="1">
      <c r="E302" s="1"/>
      <c r="F302" s="1"/>
      <c r="Y302" s="140"/>
    </row>
    <row r="303" ht="14.25" customHeight="1">
      <c r="E303" s="1"/>
      <c r="F303" s="1"/>
      <c r="Y303" s="140"/>
    </row>
    <row r="304" ht="14.25" customHeight="1">
      <c r="E304" s="1"/>
      <c r="F304" s="1"/>
      <c r="Y304" s="140"/>
    </row>
    <row r="305" ht="14.25" customHeight="1">
      <c r="E305" s="1"/>
      <c r="F305" s="1"/>
      <c r="Y305" s="140"/>
    </row>
    <row r="306" ht="14.25" customHeight="1">
      <c r="E306" s="1"/>
      <c r="F306" s="1"/>
      <c r="Y306" s="140"/>
    </row>
    <row r="307" ht="14.25" customHeight="1">
      <c r="E307" s="1"/>
      <c r="F307" s="1"/>
      <c r="Y307" s="140"/>
    </row>
    <row r="308" ht="14.25" customHeight="1">
      <c r="E308" s="1"/>
      <c r="F308" s="1"/>
      <c r="Y308" s="140"/>
    </row>
    <row r="309" ht="14.25" customHeight="1">
      <c r="E309" s="1"/>
      <c r="F309" s="1"/>
      <c r="Y309" s="140"/>
    </row>
    <row r="310" ht="14.25" customHeight="1">
      <c r="E310" s="1"/>
      <c r="F310" s="1"/>
      <c r="Y310" s="140"/>
    </row>
    <row r="311" ht="14.25" customHeight="1">
      <c r="E311" s="1"/>
      <c r="F311" s="1"/>
      <c r="Y311" s="140"/>
    </row>
    <row r="312" ht="14.25" customHeight="1">
      <c r="E312" s="1"/>
      <c r="F312" s="1"/>
      <c r="Y312" s="140"/>
    </row>
    <row r="313" ht="14.25" customHeight="1">
      <c r="E313" s="1"/>
      <c r="F313" s="1"/>
      <c r="Y313" s="140"/>
    </row>
    <row r="314" ht="14.25" customHeight="1">
      <c r="E314" s="1"/>
      <c r="F314" s="1"/>
      <c r="Y314" s="140"/>
    </row>
    <row r="315" ht="14.25" customHeight="1">
      <c r="E315" s="1"/>
      <c r="F315" s="1"/>
      <c r="Y315" s="140"/>
    </row>
    <row r="316" ht="14.25" customHeight="1">
      <c r="E316" s="1"/>
      <c r="F316" s="1"/>
      <c r="Y316" s="140"/>
    </row>
    <row r="317" ht="14.25" customHeight="1">
      <c r="E317" s="1"/>
      <c r="F317" s="1"/>
      <c r="Y317" s="140"/>
    </row>
    <row r="318" ht="14.25" customHeight="1">
      <c r="E318" s="1"/>
      <c r="F318" s="1"/>
      <c r="Y318" s="140"/>
    </row>
    <row r="319" ht="14.25" customHeight="1">
      <c r="E319" s="1"/>
      <c r="F319" s="1"/>
      <c r="Y319" s="140"/>
    </row>
    <row r="320" ht="14.25" customHeight="1">
      <c r="E320" s="1"/>
      <c r="F320" s="1"/>
      <c r="Y320" s="140"/>
    </row>
    <row r="321" ht="14.25" customHeight="1">
      <c r="E321" s="1"/>
      <c r="F321" s="1"/>
      <c r="Y321" s="140"/>
    </row>
    <row r="322" ht="14.25" customHeight="1">
      <c r="E322" s="1"/>
      <c r="F322" s="1"/>
      <c r="Y322" s="140"/>
    </row>
    <row r="323" ht="14.25" customHeight="1">
      <c r="E323" s="1"/>
      <c r="F323" s="1"/>
      <c r="Y323" s="140"/>
    </row>
    <row r="324" ht="14.25" customHeight="1">
      <c r="E324" s="1"/>
      <c r="F324" s="1"/>
      <c r="Y324" s="140"/>
    </row>
    <row r="325" ht="14.25" customHeight="1">
      <c r="E325" s="1"/>
      <c r="F325" s="1"/>
      <c r="Y325" s="140"/>
    </row>
    <row r="326" ht="14.25" customHeight="1">
      <c r="E326" s="1"/>
      <c r="F326" s="1"/>
      <c r="Y326" s="140"/>
    </row>
    <row r="327" ht="14.25" customHeight="1">
      <c r="E327" s="1"/>
      <c r="F327" s="1"/>
      <c r="Y327" s="140"/>
    </row>
    <row r="328" ht="14.25" customHeight="1">
      <c r="E328" s="1"/>
      <c r="F328" s="1"/>
      <c r="Y328" s="140"/>
    </row>
    <row r="329" ht="14.25" customHeight="1">
      <c r="E329" s="1"/>
      <c r="F329" s="1"/>
      <c r="Y329" s="140"/>
    </row>
    <row r="330" ht="14.25" customHeight="1">
      <c r="E330" s="1"/>
      <c r="F330" s="1"/>
      <c r="Y330" s="140"/>
    </row>
    <row r="331" ht="14.25" customHeight="1">
      <c r="E331" s="1"/>
      <c r="F331" s="1"/>
      <c r="Y331" s="140"/>
    </row>
    <row r="332" ht="14.25" customHeight="1">
      <c r="E332" s="1"/>
      <c r="F332" s="1"/>
      <c r="Y332" s="140"/>
    </row>
    <row r="333" ht="14.25" customHeight="1">
      <c r="E333" s="1"/>
      <c r="F333" s="1"/>
      <c r="Y333" s="140"/>
    </row>
    <row r="334" ht="14.25" customHeight="1">
      <c r="E334" s="1"/>
      <c r="F334" s="1"/>
      <c r="Y334" s="140"/>
    </row>
    <row r="335" ht="14.25" customHeight="1">
      <c r="E335" s="1"/>
      <c r="F335" s="1"/>
      <c r="Y335" s="140"/>
    </row>
    <row r="336" ht="14.25" customHeight="1">
      <c r="E336" s="1"/>
      <c r="F336" s="1"/>
      <c r="Y336" s="140"/>
    </row>
    <row r="337" ht="14.25" customHeight="1">
      <c r="E337" s="1"/>
      <c r="F337" s="1"/>
      <c r="Y337" s="140"/>
    </row>
    <row r="338" ht="14.25" customHeight="1">
      <c r="E338" s="1"/>
      <c r="F338" s="1"/>
      <c r="Y338" s="140"/>
    </row>
    <row r="339" ht="14.25" customHeight="1">
      <c r="E339" s="1"/>
      <c r="F339" s="1"/>
      <c r="Y339" s="140"/>
    </row>
    <row r="340" ht="14.25" customHeight="1">
      <c r="E340" s="1"/>
      <c r="F340" s="1"/>
      <c r="Y340" s="140"/>
    </row>
    <row r="341" ht="14.25" customHeight="1">
      <c r="E341" s="1"/>
      <c r="F341" s="1"/>
      <c r="Y341" s="140"/>
    </row>
    <row r="342" ht="14.25" customHeight="1">
      <c r="E342" s="1"/>
      <c r="F342" s="1"/>
      <c r="Y342" s="140"/>
    </row>
    <row r="343" ht="14.25" customHeight="1">
      <c r="E343" s="1"/>
      <c r="F343" s="1"/>
      <c r="Y343" s="140"/>
    </row>
    <row r="344" ht="14.25" customHeight="1">
      <c r="E344" s="1"/>
      <c r="F344" s="1"/>
      <c r="Y344" s="140"/>
    </row>
    <row r="345" ht="14.25" customHeight="1">
      <c r="E345" s="1"/>
      <c r="F345" s="1"/>
      <c r="Y345" s="140"/>
    </row>
    <row r="346" ht="14.25" customHeight="1">
      <c r="E346" s="1"/>
      <c r="F346" s="1"/>
      <c r="Y346" s="140"/>
    </row>
    <row r="347" ht="14.25" customHeight="1">
      <c r="E347" s="1"/>
      <c r="F347" s="1"/>
      <c r="Y347" s="140"/>
    </row>
    <row r="348" ht="14.25" customHeight="1">
      <c r="E348" s="1"/>
      <c r="F348" s="1"/>
      <c r="Y348" s="140"/>
    </row>
    <row r="349" ht="14.25" customHeight="1">
      <c r="E349" s="1"/>
      <c r="F349" s="1"/>
      <c r="Y349" s="140"/>
    </row>
    <row r="350" ht="14.25" customHeight="1">
      <c r="E350" s="1"/>
      <c r="F350" s="1"/>
      <c r="Y350" s="140"/>
    </row>
    <row r="351" ht="14.25" customHeight="1">
      <c r="E351" s="1"/>
      <c r="F351" s="1"/>
      <c r="Y351" s="140"/>
    </row>
    <row r="352" ht="14.25" customHeight="1">
      <c r="E352" s="1"/>
      <c r="F352" s="1"/>
      <c r="Y352" s="140"/>
    </row>
    <row r="353" ht="14.25" customHeight="1">
      <c r="E353" s="1"/>
      <c r="F353" s="1"/>
      <c r="Y353" s="140"/>
    </row>
    <row r="354" ht="14.25" customHeight="1">
      <c r="E354" s="1"/>
      <c r="F354" s="1"/>
      <c r="Y354" s="140"/>
    </row>
    <row r="355" ht="14.25" customHeight="1">
      <c r="E355" s="1"/>
      <c r="F355" s="1"/>
      <c r="Y355" s="140"/>
    </row>
    <row r="356" ht="14.25" customHeight="1">
      <c r="E356" s="1"/>
      <c r="F356" s="1"/>
      <c r="Y356" s="140"/>
    </row>
    <row r="357" ht="14.25" customHeight="1">
      <c r="E357" s="1"/>
      <c r="F357" s="1"/>
      <c r="Y357" s="140"/>
    </row>
    <row r="358" ht="14.25" customHeight="1">
      <c r="E358" s="1"/>
      <c r="F358" s="1"/>
      <c r="Y358" s="140"/>
    </row>
    <row r="359" ht="14.25" customHeight="1">
      <c r="E359" s="1"/>
      <c r="F359" s="1"/>
      <c r="Y359" s="140"/>
    </row>
    <row r="360" ht="14.25" customHeight="1">
      <c r="E360" s="1"/>
      <c r="F360" s="1"/>
      <c r="Y360" s="140"/>
    </row>
    <row r="361" ht="14.25" customHeight="1">
      <c r="E361" s="1"/>
      <c r="F361" s="1"/>
      <c r="Y361" s="140"/>
    </row>
    <row r="362" ht="14.25" customHeight="1">
      <c r="E362" s="1"/>
      <c r="F362" s="1"/>
      <c r="Y362" s="140"/>
    </row>
    <row r="363" ht="14.25" customHeight="1">
      <c r="E363" s="1"/>
      <c r="F363" s="1"/>
      <c r="Y363" s="140"/>
    </row>
    <row r="364" ht="14.25" customHeight="1">
      <c r="E364" s="1"/>
      <c r="F364" s="1"/>
      <c r="Y364" s="140"/>
    </row>
    <row r="365" ht="14.25" customHeight="1">
      <c r="E365" s="1"/>
      <c r="F365" s="1"/>
      <c r="Y365" s="140"/>
    </row>
    <row r="366" ht="14.25" customHeight="1">
      <c r="E366" s="1"/>
      <c r="F366" s="1"/>
      <c r="Y366" s="140"/>
    </row>
    <row r="367" ht="14.25" customHeight="1">
      <c r="E367" s="1"/>
      <c r="F367" s="1"/>
      <c r="Y367" s="140"/>
    </row>
    <row r="368" ht="14.25" customHeight="1">
      <c r="E368" s="1"/>
      <c r="F368" s="1"/>
      <c r="Y368" s="140"/>
    </row>
    <row r="369" ht="14.25" customHeight="1">
      <c r="E369" s="1"/>
      <c r="F369" s="1"/>
      <c r="Y369" s="140"/>
    </row>
    <row r="370" ht="14.25" customHeight="1">
      <c r="E370" s="1"/>
      <c r="F370" s="1"/>
      <c r="Y370" s="140"/>
    </row>
    <row r="371" ht="14.25" customHeight="1">
      <c r="E371" s="1"/>
      <c r="F371" s="1"/>
      <c r="Y371" s="140"/>
    </row>
    <row r="372" ht="14.25" customHeight="1">
      <c r="E372" s="1"/>
      <c r="F372" s="1"/>
      <c r="Y372" s="140"/>
    </row>
    <row r="373" ht="14.25" customHeight="1">
      <c r="E373" s="1"/>
      <c r="F373" s="1"/>
      <c r="Y373" s="140"/>
    </row>
    <row r="374" ht="14.25" customHeight="1">
      <c r="E374" s="1"/>
      <c r="F374" s="1"/>
      <c r="Y374" s="140"/>
    </row>
    <row r="375" ht="14.25" customHeight="1">
      <c r="E375" s="1"/>
      <c r="F375" s="1"/>
      <c r="Y375" s="140"/>
    </row>
    <row r="376" ht="14.25" customHeight="1">
      <c r="E376" s="1"/>
      <c r="F376" s="1"/>
      <c r="Y376" s="140"/>
    </row>
    <row r="377" ht="14.25" customHeight="1">
      <c r="E377" s="1"/>
      <c r="F377" s="1"/>
      <c r="Y377" s="140"/>
    </row>
    <row r="378" ht="14.25" customHeight="1">
      <c r="E378" s="1"/>
      <c r="F378" s="1"/>
      <c r="Y378" s="140"/>
    </row>
    <row r="379" ht="14.25" customHeight="1">
      <c r="E379" s="1"/>
      <c r="F379" s="1"/>
      <c r="Y379" s="140"/>
    </row>
    <row r="380" ht="14.25" customHeight="1">
      <c r="E380" s="1"/>
      <c r="F380" s="1"/>
      <c r="Y380" s="140"/>
    </row>
    <row r="381" ht="14.25" customHeight="1">
      <c r="E381" s="1"/>
      <c r="F381" s="1"/>
      <c r="Y381" s="140"/>
    </row>
    <row r="382" ht="14.25" customHeight="1">
      <c r="E382" s="1"/>
      <c r="F382" s="1"/>
      <c r="Y382" s="140"/>
    </row>
    <row r="383" ht="14.25" customHeight="1">
      <c r="E383" s="1"/>
      <c r="F383" s="1"/>
      <c r="Y383" s="140"/>
    </row>
    <row r="384" ht="14.25" customHeight="1">
      <c r="E384" s="1"/>
      <c r="F384" s="1"/>
      <c r="Y384" s="140"/>
    </row>
    <row r="385" ht="14.25" customHeight="1">
      <c r="E385" s="1"/>
      <c r="F385" s="1"/>
      <c r="Y385" s="140"/>
    </row>
    <row r="386" ht="14.25" customHeight="1">
      <c r="E386" s="1"/>
      <c r="F386" s="1"/>
      <c r="Y386" s="140"/>
    </row>
    <row r="387" ht="14.25" customHeight="1">
      <c r="E387" s="1"/>
      <c r="F387" s="1"/>
      <c r="Y387" s="140"/>
    </row>
    <row r="388" ht="14.25" customHeight="1">
      <c r="E388" s="1"/>
      <c r="F388" s="1"/>
      <c r="Y388" s="140"/>
    </row>
    <row r="389" ht="14.25" customHeight="1">
      <c r="E389" s="1"/>
      <c r="F389" s="1"/>
      <c r="Y389" s="140"/>
    </row>
    <row r="390" ht="14.25" customHeight="1">
      <c r="E390" s="1"/>
      <c r="F390" s="1"/>
      <c r="Y390" s="140"/>
    </row>
    <row r="391" ht="14.25" customHeight="1">
      <c r="E391" s="1"/>
      <c r="F391" s="1"/>
      <c r="Y391" s="140"/>
    </row>
    <row r="392" ht="14.25" customHeight="1">
      <c r="E392" s="1"/>
      <c r="F392" s="1"/>
      <c r="Y392" s="140"/>
    </row>
    <row r="393" ht="14.25" customHeight="1">
      <c r="E393" s="1"/>
      <c r="F393" s="1"/>
      <c r="Y393" s="140"/>
    </row>
    <row r="394" ht="14.25" customHeight="1">
      <c r="E394" s="1"/>
      <c r="F394" s="1"/>
      <c r="Y394" s="140"/>
    </row>
    <row r="395" ht="14.25" customHeight="1">
      <c r="E395" s="1"/>
      <c r="F395" s="1"/>
      <c r="Y395" s="140"/>
    </row>
    <row r="396" ht="14.25" customHeight="1">
      <c r="E396" s="1"/>
      <c r="F396" s="1"/>
      <c r="Y396" s="140"/>
    </row>
    <row r="397" ht="14.25" customHeight="1">
      <c r="E397" s="1"/>
      <c r="F397" s="1"/>
      <c r="Y397" s="140"/>
    </row>
    <row r="398" ht="14.25" customHeight="1">
      <c r="E398" s="1"/>
      <c r="F398" s="1"/>
      <c r="Y398" s="140"/>
    </row>
    <row r="399" ht="14.25" customHeight="1">
      <c r="E399" s="1"/>
      <c r="F399" s="1"/>
      <c r="Y399" s="140"/>
    </row>
    <row r="400" ht="14.25" customHeight="1">
      <c r="E400" s="1"/>
      <c r="F400" s="1"/>
      <c r="Y400" s="140"/>
    </row>
    <row r="401" ht="14.25" customHeight="1">
      <c r="E401" s="1"/>
      <c r="F401" s="1"/>
      <c r="Y401" s="140"/>
    </row>
    <row r="402" ht="14.25" customHeight="1">
      <c r="E402" s="1"/>
      <c r="F402" s="1"/>
      <c r="Y402" s="140"/>
    </row>
    <row r="403" ht="14.25" customHeight="1">
      <c r="E403" s="1"/>
      <c r="F403" s="1"/>
      <c r="Y403" s="140"/>
    </row>
    <row r="404" ht="14.25" customHeight="1">
      <c r="E404" s="1"/>
      <c r="F404" s="1"/>
      <c r="Y404" s="140"/>
    </row>
    <row r="405" ht="14.25" customHeight="1">
      <c r="E405" s="1"/>
      <c r="F405" s="1"/>
      <c r="Y405" s="140"/>
    </row>
    <row r="406" ht="14.25" customHeight="1">
      <c r="E406" s="1"/>
      <c r="F406" s="1"/>
      <c r="Y406" s="140"/>
    </row>
    <row r="407" ht="14.25" customHeight="1">
      <c r="E407" s="1"/>
      <c r="F407" s="1"/>
      <c r="Y407" s="140"/>
    </row>
    <row r="408" ht="14.25" customHeight="1">
      <c r="E408" s="1"/>
      <c r="F408" s="1"/>
      <c r="Y408" s="140"/>
    </row>
    <row r="409" ht="14.25" customHeight="1">
      <c r="E409" s="1"/>
      <c r="F409" s="1"/>
      <c r="Y409" s="140"/>
    </row>
    <row r="410" ht="14.25" customHeight="1">
      <c r="E410" s="1"/>
      <c r="F410" s="1"/>
      <c r="Y410" s="140"/>
    </row>
    <row r="411" ht="14.25" customHeight="1">
      <c r="E411" s="1"/>
      <c r="F411" s="1"/>
      <c r="Y411" s="140"/>
    </row>
    <row r="412" ht="14.25" customHeight="1">
      <c r="E412" s="1"/>
      <c r="F412" s="1"/>
      <c r="Y412" s="140"/>
    </row>
    <row r="413" ht="14.25" customHeight="1">
      <c r="E413" s="1"/>
      <c r="F413" s="1"/>
      <c r="Y413" s="140"/>
    </row>
    <row r="414" ht="14.25" customHeight="1">
      <c r="E414" s="1"/>
      <c r="F414" s="1"/>
      <c r="Y414" s="140"/>
    </row>
    <row r="415" ht="14.25" customHeight="1">
      <c r="E415" s="1"/>
      <c r="F415" s="1"/>
      <c r="Y415" s="140"/>
    </row>
    <row r="416" ht="14.25" customHeight="1">
      <c r="E416" s="1"/>
      <c r="F416" s="1"/>
      <c r="Y416" s="140"/>
    </row>
    <row r="417" ht="14.25" customHeight="1">
      <c r="E417" s="1"/>
      <c r="F417" s="1"/>
      <c r="Y417" s="140"/>
    </row>
    <row r="418" ht="14.25" customHeight="1">
      <c r="E418" s="1"/>
      <c r="F418" s="1"/>
      <c r="Y418" s="140"/>
    </row>
    <row r="419" ht="14.25" customHeight="1">
      <c r="E419" s="1"/>
      <c r="F419" s="1"/>
      <c r="Y419" s="140"/>
    </row>
    <row r="420" ht="14.25" customHeight="1">
      <c r="E420" s="1"/>
      <c r="F420" s="1"/>
      <c r="Y420" s="140"/>
    </row>
    <row r="421" ht="14.25" customHeight="1">
      <c r="E421" s="1"/>
      <c r="F421" s="1"/>
      <c r="Y421" s="140"/>
    </row>
    <row r="422" ht="14.25" customHeight="1">
      <c r="E422" s="1"/>
      <c r="F422" s="1"/>
      <c r="Y422" s="140"/>
    </row>
    <row r="423" ht="14.25" customHeight="1">
      <c r="E423" s="1"/>
      <c r="F423" s="1"/>
      <c r="Y423" s="140"/>
    </row>
    <row r="424" ht="14.25" customHeight="1">
      <c r="E424" s="1"/>
      <c r="F424" s="1"/>
      <c r="Y424" s="140"/>
    </row>
    <row r="425" ht="14.25" customHeight="1">
      <c r="E425" s="1"/>
      <c r="F425" s="1"/>
      <c r="Y425" s="140"/>
    </row>
    <row r="426" ht="14.25" customHeight="1">
      <c r="E426" s="1"/>
      <c r="F426" s="1"/>
      <c r="Y426" s="140"/>
    </row>
    <row r="427" ht="14.25" customHeight="1">
      <c r="E427" s="1"/>
      <c r="F427" s="1"/>
      <c r="Y427" s="140"/>
    </row>
    <row r="428" ht="14.25" customHeight="1">
      <c r="E428" s="1"/>
      <c r="F428" s="1"/>
      <c r="Y428" s="140"/>
    </row>
    <row r="429" ht="14.25" customHeight="1">
      <c r="E429" s="1"/>
      <c r="F429" s="1"/>
      <c r="Y429" s="140"/>
    </row>
    <row r="430" ht="14.25" customHeight="1">
      <c r="E430" s="1"/>
      <c r="F430" s="1"/>
      <c r="Y430" s="140"/>
    </row>
    <row r="431" ht="14.25" customHeight="1">
      <c r="E431" s="1"/>
      <c r="F431" s="1"/>
      <c r="Y431" s="140"/>
    </row>
    <row r="432" ht="14.25" customHeight="1">
      <c r="E432" s="1"/>
      <c r="F432" s="1"/>
      <c r="Y432" s="140"/>
    </row>
    <row r="433" ht="14.25" customHeight="1">
      <c r="E433" s="1"/>
      <c r="F433" s="1"/>
      <c r="Y433" s="140"/>
    </row>
    <row r="434" ht="14.25" customHeight="1">
      <c r="E434" s="1"/>
      <c r="F434" s="1"/>
      <c r="Y434" s="140"/>
    </row>
    <row r="435" ht="14.25" customHeight="1">
      <c r="E435" s="1"/>
      <c r="F435" s="1"/>
      <c r="Y435" s="140"/>
    </row>
    <row r="436" ht="14.25" customHeight="1">
      <c r="E436" s="1"/>
      <c r="F436" s="1"/>
      <c r="Y436" s="140"/>
    </row>
    <row r="437" ht="14.25" customHeight="1">
      <c r="E437" s="1"/>
      <c r="F437" s="1"/>
      <c r="Y437" s="140"/>
    </row>
    <row r="438" ht="14.25" customHeight="1">
      <c r="E438" s="1"/>
      <c r="F438" s="1"/>
      <c r="Y438" s="140"/>
    </row>
    <row r="439" ht="14.25" customHeight="1">
      <c r="E439" s="1"/>
      <c r="F439" s="1"/>
      <c r="Y439" s="140"/>
    </row>
    <row r="440" ht="14.25" customHeight="1">
      <c r="E440" s="1"/>
      <c r="F440" s="1"/>
      <c r="Y440" s="140"/>
    </row>
    <row r="441" ht="14.25" customHeight="1">
      <c r="E441" s="1"/>
      <c r="F441" s="1"/>
      <c r="Y441" s="140"/>
    </row>
    <row r="442" ht="14.25" customHeight="1">
      <c r="E442" s="1"/>
      <c r="F442" s="1"/>
      <c r="Y442" s="140"/>
    </row>
    <row r="443" ht="14.25" customHeight="1">
      <c r="E443" s="1"/>
      <c r="F443" s="1"/>
      <c r="Y443" s="140"/>
    </row>
    <row r="444" ht="14.25" customHeight="1">
      <c r="E444" s="1"/>
      <c r="F444" s="1"/>
      <c r="Y444" s="140"/>
    </row>
    <row r="445" ht="14.25" customHeight="1">
      <c r="E445" s="1"/>
      <c r="F445" s="1"/>
      <c r="Y445" s="140"/>
    </row>
    <row r="446" ht="14.25" customHeight="1">
      <c r="E446" s="1"/>
      <c r="F446" s="1"/>
      <c r="Y446" s="140"/>
    </row>
    <row r="447" ht="14.25" customHeight="1">
      <c r="E447" s="1"/>
      <c r="F447" s="1"/>
      <c r="Y447" s="140"/>
    </row>
    <row r="448" ht="14.25" customHeight="1">
      <c r="E448" s="1"/>
      <c r="F448" s="1"/>
      <c r="Y448" s="140"/>
    </row>
    <row r="449" ht="14.25" customHeight="1">
      <c r="E449" s="1"/>
      <c r="F449" s="1"/>
      <c r="Y449" s="140"/>
    </row>
    <row r="450" ht="14.25" customHeight="1">
      <c r="E450" s="1"/>
      <c r="F450" s="1"/>
      <c r="Y450" s="140"/>
    </row>
    <row r="451" ht="14.25" customHeight="1">
      <c r="E451" s="1"/>
      <c r="F451" s="1"/>
      <c r="Y451" s="140"/>
    </row>
    <row r="452" ht="14.25" customHeight="1">
      <c r="E452" s="1"/>
      <c r="F452" s="1"/>
      <c r="Y452" s="140"/>
    </row>
    <row r="453" ht="14.25" customHeight="1">
      <c r="E453" s="1"/>
      <c r="F453" s="1"/>
      <c r="Y453" s="140"/>
    </row>
    <row r="454" ht="14.25" customHeight="1">
      <c r="E454" s="1"/>
      <c r="F454" s="1"/>
      <c r="Y454" s="140"/>
    </row>
    <row r="455" ht="14.25" customHeight="1">
      <c r="E455" s="1"/>
      <c r="F455" s="1"/>
      <c r="Y455" s="140"/>
    </row>
    <row r="456" ht="14.25" customHeight="1">
      <c r="E456" s="1"/>
      <c r="F456" s="1"/>
      <c r="Y456" s="140"/>
    </row>
    <row r="457" ht="14.25" customHeight="1">
      <c r="E457" s="1"/>
      <c r="F457" s="1"/>
      <c r="Y457" s="140"/>
    </row>
    <row r="458" ht="14.25" customHeight="1">
      <c r="E458" s="1"/>
      <c r="F458" s="1"/>
      <c r="Y458" s="140"/>
    </row>
    <row r="459" ht="14.25" customHeight="1">
      <c r="E459" s="1"/>
      <c r="F459" s="1"/>
      <c r="Y459" s="140"/>
    </row>
    <row r="460" ht="14.25" customHeight="1">
      <c r="E460" s="1"/>
      <c r="F460" s="1"/>
      <c r="Y460" s="140"/>
    </row>
    <row r="461" ht="14.25" customHeight="1">
      <c r="E461" s="1"/>
      <c r="F461" s="1"/>
      <c r="Y461" s="140"/>
    </row>
    <row r="462" ht="14.25" customHeight="1">
      <c r="E462" s="1"/>
      <c r="F462" s="1"/>
      <c r="Y462" s="140"/>
    </row>
    <row r="463" ht="14.25" customHeight="1">
      <c r="E463" s="1"/>
      <c r="F463" s="1"/>
      <c r="Y463" s="140"/>
    </row>
    <row r="464" ht="14.25" customHeight="1">
      <c r="E464" s="1"/>
      <c r="F464" s="1"/>
      <c r="Y464" s="140"/>
    </row>
    <row r="465" ht="14.25" customHeight="1">
      <c r="E465" s="1"/>
      <c r="F465" s="1"/>
      <c r="Y465" s="140"/>
    </row>
    <row r="466" ht="14.25" customHeight="1">
      <c r="E466" s="1"/>
      <c r="F466" s="1"/>
      <c r="Y466" s="140"/>
    </row>
    <row r="467" ht="14.25" customHeight="1">
      <c r="E467" s="1"/>
      <c r="F467" s="1"/>
      <c r="Y467" s="140"/>
    </row>
    <row r="468" ht="14.25" customHeight="1">
      <c r="E468" s="1"/>
      <c r="F468" s="1"/>
      <c r="Y468" s="140"/>
    </row>
    <row r="469" ht="14.25" customHeight="1">
      <c r="E469" s="1"/>
      <c r="F469" s="1"/>
      <c r="Y469" s="140"/>
    </row>
    <row r="470" ht="14.25" customHeight="1">
      <c r="E470" s="1"/>
      <c r="F470" s="1"/>
      <c r="Y470" s="140"/>
    </row>
    <row r="471" ht="14.25" customHeight="1">
      <c r="E471" s="1"/>
      <c r="F471" s="1"/>
      <c r="Y471" s="140"/>
    </row>
    <row r="472" ht="14.25" customHeight="1">
      <c r="E472" s="1"/>
      <c r="F472" s="1"/>
      <c r="Y472" s="140"/>
    </row>
    <row r="473" ht="14.25" customHeight="1">
      <c r="E473" s="1"/>
      <c r="F473" s="1"/>
      <c r="Y473" s="140"/>
    </row>
    <row r="474" ht="14.25" customHeight="1">
      <c r="E474" s="1"/>
      <c r="F474" s="1"/>
      <c r="Y474" s="140"/>
    </row>
    <row r="475" ht="14.25" customHeight="1">
      <c r="E475" s="1"/>
      <c r="F475" s="1"/>
      <c r="Y475" s="140"/>
    </row>
    <row r="476" ht="14.25" customHeight="1">
      <c r="E476" s="1"/>
      <c r="F476" s="1"/>
      <c r="Y476" s="140"/>
    </row>
    <row r="477" ht="14.25" customHeight="1">
      <c r="E477" s="1"/>
      <c r="F477" s="1"/>
      <c r="Y477" s="140"/>
    </row>
    <row r="478" ht="14.25" customHeight="1">
      <c r="E478" s="1"/>
      <c r="F478" s="1"/>
      <c r="Y478" s="140"/>
    </row>
    <row r="479" ht="14.25" customHeight="1">
      <c r="E479" s="1"/>
      <c r="F479" s="1"/>
      <c r="Y479" s="140"/>
    </row>
    <row r="480" ht="14.25" customHeight="1">
      <c r="E480" s="1"/>
      <c r="F480" s="1"/>
      <c r="Y480" s="140"/>
    </row>
    <row r="481" ht="14.25" customHeight="1">
      <c r="E481" s="1"/>
      <c r="F481" s="1"/>
      <c r="Y481" s="140"/>
    </row>
    <row r="482" ht="14.25" customHeight="1">
      <c r="E482" s="1"/>
      <c r="F482" s="1"/>
      <c r="Y482" s="140"/>
    </row>
    <row r="483" ht="14.25" customHeight="1">
      <c r="E483" s="1"/>
      <c r="F483" s="1"/>
      <c r="Y483" s="140"/>
    </row>
    <row r="484" ht="14.25" customHeight="1">
      <c r="E484" s="1"/>
      <c r="F484" s="1"/>
      <c r="Y484" s="140"/>
    </row>
    <row r="485" ht="14.25" customHeight="1">
      <c r="E485" s="1"/>
      <c r="F485" s="1"/>
      <c r="Y485" s="140"/>
    </row>
    <row r="486" ht="14.25" customHeight="1">
      <c r="E486" s="1"/>
      <c r="F486" s="1"/>
      <c r="Y486" s="140"/>
    </row>
    <row r="487" ht="14.25" customHeight="1">
      <c r="E487" s="1"/>
      <c r="F487" s="1"/>
      <c r="Y487" s="140"/>
    </row>
    <row r="488" ht="14.25" customHeight="1">
      <c r="E488" s="1"/>
      <c r="F488" s="1"/>
      <c r="Y488" s="140"/>
    </row>
    <row r="489" ht="14.25" customHeight="1">
      <c r="E489" s="1"/>
      <c r="F489" s="1"/>
      <c r="Y489" s="140"/>
    </row>
    <row r="490" ht="14.25" customHeight="1">
      <c r="E490" s="1"/>
      <c r="F490" s="1"/>
      <c r="Y490" s="140"/>
    </row>
    <row r="491" ht="14.25" customHeight="1">
      <c r="E491" s="1"/>
      <c r="F491" s="1"/>
      <c r="Y491" s="140"/>
    </row>
    <row r="492" ht="14.25" customHeight="1">
      <c r="E492" s="1"/>
      <c r="F492" s="1"/>
      <c r="Y492" s="140"/>
    </row>
    <row r="493" ht="14.25" customHeight="1">
      <c r="E493" s="1"/>
      <c r="F493" s="1"/>
      <c r="Y493" s="140"/>
    </row>
    <row r="494" ht="14.25" customHeight="1">
      <c r="E494" s="1"/>
      <c r="F494" s="1"/>
      <c r="Y494" s="140"/>
    </row>
    <row r="495" ht="14.25" customHeight="1">
      <c r="E495" s="1"/>
      <c r="F495" s="1"/>
      <c r="Y495" s="140"/>
    </row>
    <row r="496" ht="14.25" customHeight="1">
      <c r="E496" s="1"/>
      <c r="F496" s="1"/>
      <c r="Y496" s="140"/>
    </row>
    <row r="497" ht="14.25" customHeight="1">
      <c r="E497" s="1"/>
      <c r="F497" s="1"/>
      <c r="Y497" s="140"/>
    </row>
    <row r="498" ht="14.25" customHeight="1">
      <c r="E498" s="1"/>
      <c r="F498" s="1"/>
      <c r="Y498" s="140"/>
    </row>
    <row r="499" ht="14.25" customHeight="1">
      <c r="E499" s="1"/>
      <c r="F499" s="1"/>
      <c r="Y499" s="140"/>
    </row>
    <row r="500" ht="14.25" customHeight="1">
      <c r="E500" s="1"/>
      <c r="F500" s="1"/>
      <c r="Y500" s="140"/>
    </row>
    <row r="501" ht="14.25" customHeight="1">
      <c r="E501" s="1"/>
      <c r="F501" s="1"/>
      <c r="Y501" s="140"/>
    </row>
    <row r="502" ht="14.25" customHeight="1">
      <c r="E502" s="1"/>
      <c r="F502" s="1"/>
      <c r="Y502" s="140"/>
    </row>
    <row r="503" ht="14.25" customHeight="1">
      <c r="E503" s="1"/>
      <c r="F503" s="1"/>
      <c r="Y503" s="140"/>
    </row>
    <row r="504" ht="14.25" customHeight="1">
      <c r="E504" s="1"/>
      <c r="F504" s="1"/>
      <c r="Y504" s="140"/>
    </row>
    <row r="505" ht="14.25" customHeight="1">
      <c r="E505" s="1"/>
      <c r="F505" s="1"/>
      <c r="Y505" s="140"/>
    </row>
    <row r="506" ht="14.25" customHeight="1">
      <c r="E506" s="1"/>
      <c r="F506" s="1"/>
      <c r="Y506" s="140"/>
    </row>
    <row r="507" ht="14.25" customHeight="1">
      <c r="E507" s="1"/>
      <c r="F507" s="1"/>
      <c r="Y507" s="140"/>
    </row>
    <row r="508" ht="14.25" customHeight="1">
      <c r="E508" s="1"/>
      <c r="F508" s="1"/>
      <c r="Y508" s="140"/>
    </row>
    <row r="509" ht="14.25" customHeight="1">
      <c r="E509" s="1"/>
      <c r="F509" s="1"/>
      <c r="Y509" s="140"/>
    </row>
    <row r="510" ht="14.25" customHeight="1">
      <c r="E510" s="1"/>
      <c r="F510" s="1"/>
      <c r="Y510" s="140"/>
    </row>
    <row r="511" ht="14.25" customHeight="1">
      <c r="E511" s="1"/>
      <c r="F511" s="1"/>
      <c r="Y511" s="140"/>
    </row>
    <row r="512" ht="14.25" customHeight="1">
      <c r="E512" s="1"/>
      <c r="F512" s="1"/>
      <c r="Y512" s="140"/>
    </row>
    <row r="513" ht="14.25" customHeight="1">
      <c r="E513" s="1"/>
      <c r="F513" s="1"/>
      <c r="Y513" s="140"/>
    </row>
    <row r="514" ht="14.25" customHeight="1">
      <c r="E514" s="1"/>
      <c r="F514" s="1"/>
      <c r="Y514" s="140"/>
    </row>
    <row r="515" ht="14.25" customHeight="1">
      <c r="E515" s="1"/>
      <c r="F515" s="1"/>
      <c r="Y515" s="140"/>
    </row>
    <row r="516" ht="14.25" customHeight="1">
      <c r="E516" s="1"/>
      <c r="F516" s="1"/>
      <c r="Y516" s="140"/>
    </row>
    <row r="517" ht="14.25" customHeight="1">
      <c r="E517" s="1"/>
      <c r="F517" s="1"/>
      <c r="Y517" s="140"/>
    </row>
    <row r="518" ht="14.25" customHeight="1">
      <c r="E518" s="1"/>
      <c r="F518" s="1"/>
      <c r="Y518" s="140"/>
    </row>
    <row r="519" ht="14.25" customHeight="1">
      <c r="E519" s="1"/>
      <c r="F519" s="1"/>
      <c r="Y519" s="140"/>
    </row>
    <row r="520" ht="14.25" customHeight="1">
      <c r="E520" s="1"/>
      <c r="F520" s="1"/>
      <c r="Y520" s="140"/>
    </row>
    <row r="521" ht="14.25" customHeight="1">
      <c r="E521" s="1"/>
      <c r="F521" s="1"/>
      <c r="Y521" s="140"/>
    </row>
    <row r="522" ht="14.25" customHeight="1">
      <c r="E522" s="1"/>
      <c r="F522" s="1"/>
      <c r="Y522" s="140"/>
    </row>
    <row r="523" ht="14.25" customHeight="1">
      <c r="E523" s="1"/>
      <c r="F523" s="1"/>
      <c r="Y523" s="140"/>
    </row>
    <row r="524" ht="14.25" customHeight="1">
      <c r="E524" s="1"/>
      <c r="F524" s="1"/>
      <c r="Y524" s="140"/>
    </row>
    <row r="525" ht="14.25" customHeight="1">
      <c r="E525" s="1"/>
      <c r="F525" s="1"/>
      <c r="Y525" s="140"/>
    </row>
    <row r="526" ht="14.25" customHeight="1">
      <c r="E526" s="1"/>
      <c r="F526" s="1"/>
      <c r="Y526" s="140"/>
    </row>
    <row r="527" ht="14.25" customHeight="1">
      <c r="E527" s="1"/>
      <c r="F527" s="1"/>
      <c r="Y527" s="140"/>
    </row>
    <row r="528" ht="14.25" customHeight="1">
      <c r="E528" s="1"/>
      <c r="F528" s="1"/>
      <c r="Y528" s="140"/>
    </row>
    <row r="529" ht="14.25" customHeight="1">
      <c r="E529" s="1"/>
      <c r="F529" s="1"/>
      <c r="Y529" s="140"/>
    </row>
    <row r="530" ht="14.25" customHeight="1">
      <c r="E530" s="1"/>
      <c r="F530" s="1"/>
      <c r="Y530" s="140"/>
    </row>
    <row r="531" ht="14.25" customHeight="1">
      <c r="E531" s="1"/>
      <c r="F531" s="1"/>
      <c r="Y531" s="140"/>
    </row>
    <row r="532" ht="14.25" customHeight="1">
      <c r="E532" s="1"/>
      <c r="F532" s="1"/>
      <c r="Y532" s="140"/>
    </row>
    <row r="533" ht="14.25" customHeight="1">
      <c r="E533" s="1"/>
      <c r="F533" s="1"/>
      <c r="Y533" s="140"/>
    </row>
    <row r="534" ht="14.25" customHeight="1">
      <c r="E534" s="1"/>
      <c r="F534" s="1"/>
      <c r="Y534" s="140"/>
    </row>
    <row r="535" ht="14.25" customHeight="1">
      <c r="E535" s="1"/>
      <c r="F535" s="1"/>
      <c r="Y535" s="140"/>
    </row>
    <row r="536" ht="14.25" customHeight="1">
      <c r="E536" s="1"/>
      <c r="F536" s="1"/>
      <c r="Y536" s="140"/>
    </row>
    <row r="537" ht="14.25" customHeight="1">
      <c r="E537" s="1"/>
      <c r="F537" s="1"/>
      <c r="Y537" s="140"/>
    </row>
    <row r="538" ht="14.25" customHeight="1">
      <c r="E538" s="1"/>
      <c r="F538" s="1"/>
      <c r="Y538" s="140"/>
    </row>
    <row r="539" ht="14.25" customHeight="1">
      <c r="E539" s="1"/>
      <c r="F539" s="1"/>
      <c r="Y539" s="140"/>
    </row>
    <row r="540" ht="14.25" customHeight="1">
      <c r="E540" s="1"/>
      <c r="F540" s="1"/>
      <c r="Y540" s="140"/>
    </row>
    <row r="541" ht="14.25" customHeight="1">
      <c r="E541" s="1"/>
      <c r="F541" s="1"/>
      <c r="Y541" s="140"/>
    </row>
    <row r="542" ht="14.25" customHeight="1">
      <c r="E542" s="1"/>
      <c r="F542" s="1"/>
      <c r="Y542" s="140"/>
    </row>
    <row r="543" ht="14.25" customHeight="1">
      <c r="E543" s="1"/>
      <c r="F543" s="1"/>
      <c r="Y543" s="140"/>
    </row>
    <row r="544" ht="14.25" customHeight="1">
      <c r="E544" s="1"/>
      <c r="F544" s="1"/>
      <c r="Y544" s="140"/>
    </row>
    <row r="545" ht="14.25" customHeight="1">
      <c r="E545" s="1"/>
      <c r="F545" s="1"/>
      <c r="Y545" s="140"/>
    </row>
    <row r="546" ht="14.25" customHeight="1">
      <c r="E546" s="1"/>
      <c r="F546" s="1"/>
      <c r="Y546" s="140"/>
    </row>
    <row r="547" ht="14.25" customHeight="1">
      <c r="E547" s="1"/>
      <c r="F547" s="1"/>
      <c r="Y547" s="140"/>
    </row>
    <row r="548" ht="14.25" customHeight="1">
      <c r="E548" s="1"/>
      <c r="F548" s="1"/>
      <c r="Y548" s="140"/>
    </row>
    <row r="549" ht="14.25" customHeight="1">
      <c r="E549" s="1"/>
      <c r="F549" s="1"/>
      <c r="Y549" s="140"/>
    </row>
    <row r="550" ht="14.25" customHeight="1">
      <c r="E550" s="1"/>
      <c r="F550" s="1"/>
      <c r="Y550" s="140"/>
    </row>
    <row r="551" ht="14.25" customHeight="1">
      <c r="E551" s="1"/>
      <c r="F551" s="1"/>
      <c r="Y551" s="140"/>
    </row>
    <row r="552" ht="14.25" customHeight="1">
      <c r="E552" s="1"/>
      <c r="F552" s="1"/>
      <c r="Y552" s="140"/>
    </row>
    <row r="553" ht="14.25" customHeight="1">
      <c r="E553" s="1"/>
      <c r="F553" s="1"/>
      <c r="Y553" s="140"/>
    </row>
    <row r="554" ht="14.25" customHeight="1">
      <c r="E554" s="1"/>
      <c r="F554" s="1"/>
      <c r="Y554" s="140"/>
    </row>
    <row r="555" ht="14.25" customHeight="1">
      <c r="E555" s="1"/>
      <c r="F555" s="1"/>
      <c r="Y555" s="140"/>
    </row>
    <row r="556" ht="14.25" customHeight="1">
      <c r="E556" s="1"/>
      <c r="F556" s="1"/>
      <c r="Y556" s="140"/>
    </row>
    <row r="557" ht="14.25" customHeight="1">
      <c r="E557" s="1"/>
      <c r="F557" s="1"/>
      <c r="Y557" s="140"/>
    </row>
    <row r="558" ht="14.25" customHeight="1">
      <c r="E558" s="1"/>
      <c r="F558" s="1"/>
      <c r="Y558" s="140"/>
    </row>
    <row r="559" ht="14.25" customHeight="1">
      <c r="E559" s="1"/>
      <c r="F559" s="1"/>
      <c r="Y559" s="140"/>
    </row>
    <row r="560" ht="14.25" customHeight="1">
      <c r="E560" s="1"/>
      <c r="F560" s="1"/>
      <c r="Y560" s="140"/>
    </row>
    <row r="561" ht="14.25" customHeight="1">
      <c r="E561" s="1"/>
      <c r="F561" s="1"/>
      <c r="Y561" s="140"/>
    </row>
    <row r="562" ht="14.25" customHeight="1">
      <c r="E562" s="1"/>
      <c r="F562" s="1"/>
      <c r="Y562" s="140"/>
    </row>
    <row r="563" ht="14.25" customHeight="1">
      <c r="E563" s="1"/>
      <c r="F563" s="1"/>
      <c r="Y563" s="140"/>
    </row>
    <row r="564" ht="14.25" customHeight="1">
      <c r="E564" s="1"/>
      <c r="F564" s="1"/>
      <c r="Y564" s="140"/>
    </row>
    <row r="565" ht="14.25" customHeight="1">
      <c r="E565" s="1"/>
      <c r="F565" s="1"/>
      <c r="Y565" s="140"/>
    </row>
    <row r="566" ht="14.25" customHeight="1">
      <c r="E566" s="1"/>
      <c r="F566" s="1"/>
      <c r="Y566" s="140"/>
    </row>
    <row r="567" ht="14.25" customHeight="1">
      <c r="E567" s="1"/>
      <c r="F567" s="1"/>
      <c r="Y567" s="140"/>
    </row>
    <row r="568" ht="14.25" customHeight="1">
      <c r="E568" s="1"/>
      <c r="F568" s="1"/>
      <c r="Y568" s="140"/>
    </row>
    <row r="569" ht="14.25" customHeight="1">
      <c r="E569" s="1"/>
      <c r="F569" s="1"/>
      <c r="Y569" s="140"/>
    </row>
    <row r="570" ht="14.25" customHeight="1">
      <c r="E570" s="1"/>
      <c r="F570" s="1"/>
      <c r="Y570" s="140"/>
    </row>
    <row r="571" ht="14.25" customHeight="1">
      <c r="E571" s="1"/>
      <c r="F571" s="1"/>
      <c r="Y571" s="140"/>
    </row>
    <row r="572" ht="14.25" customHeight="1">
      <c r="E572" s="1"/>
      <c r="F572" s="1"/>
      <c r="Y572" s="140"/>
    </row>
    <row r="573" ht="14.25" customHeight="1">
      <c r="E573" s="1"/>
      <c r="F573" s="1"/>
      <c r="Y573" s="140"/>
    </row>
    <row r="574" ht="14.25" customHeight="1">
      <c r="E574" s="1"/>
      <c r="F574" s="1"/>
      <c r="Y574" s="140"/>
    </row>
    <row r="575" ht="14.25" customHeight="1">
      <c r="E575" s="1"/>
      <c r="F575" s="1"/>
      <c r="Y575" s="140"/>
    </row>
    <row r="576" ht="14.25" customHeight="1">
      <c r="E576" s="1"/>
      <c r="F576" s="1"/>
      <c r="Y576" s="140"/>
    </row>
    <row r="577" ht="14.25" customHeight="1">
      <c r="E577" s="1"/>
      <c r="F577" s="1"/>
      <c r="Y577" s="140"/>
    </row>
    <row r="578" ht="14.25" customHeight="1">
      <c r="E578" s="1"/>
      <c r="F578" s="1"/>
      <c r="Y578" s="140"/>
    </row>
    <row r="579" ht="14.25" customHeight="1">
      <c r="E579" s="1"/>
      <c r="F579" s="1"/>
      <c r="Y579" s="140"/>
    </row>
    <row r="580" ht="14.25" customHeight="1">
      <c r="E580" s="1"/>
      <c r="F580" s="1"/>
      <c r="Y580" s="140"/>
    </row>
    <row r="581" ht="14.25" customHeight="1">
      <c r="E581" s="1"/>
      <c r="F581" s="1"/>
      <c r="Y581" s="140"/>
    </row>
    <row r="582" ht="14.25" customHeight="1">
      <c r="E582" s="1"/>
      <c r="F582" s="1"/>
      <c r="Y582" s="140"/>
    </row>
    <row r="583" ht="14.25" customHeight="1">
      <c r="E583" s="1"/>
      <c r="F583" s="1"/>
      <c r="Y583" s="140"/>
    </row>
    <row r="584" ht="14.25" customHeight="1">
      <c r="E584" s="1"/>
      <c r="F584" s="1"/>
      <c r="Y584" s="140"/>
    </row>
    <row r="585" ht="14.25" customHeight="1">
      <c r="E585" s="1"/>
      <c r="F585" s="1"/>
      <c r="Y585" s="140"/>
    </row>
    <row r="586" ht="14.25" customHeight="1">
      <c r="E586" s="1"/>
      <c r="F586" s="1"/>
      <c r="Y586" s="140"/>
    </row>
    <row r="587" ht="14.25" customHeight="1">
      <c r="E587" s="1"/>
      <c r="F587" s="1"/>
      <c r="Y587" s="140"/>
    </row>
    <row r="588" ht="14.25" customHeight="1">
      <c r="E588" s="1"/>
      <c r="F588" s="1"/>
      <c r="Y588" s="140"/>
    </row>
    <row r="589" ht="14.25" customHeight="1">
      <c r="E589" s="1"/>
      <c r="F589" s="1"/>
      <c r="Y589" s="140"/>
    </row>
    <row r="590" ht="14.25" customHeight="1">
      <c r="E590" s="1"/>
      <c r="F590" s="1"/>
      <c r="Y590" s="140"/>
    </row>
    <row r="591" ht="14.25" customHeight="1">
      <c r="E591" s="1"/>
      <c r="F591" s="1"/>
      <c r="Y591" s="140"/>
    </row>
    <row r="592" ht="14.25" customHeight="1">
      <c r="E592" s="1"/>
      <c r="F592" s="1"/>
      <c r="Y592" s="140"/>
    </row>
    <row r="593" ht="14.25" customHeight="1">
      <c r="E593" s="1"/>
      <c r="F593" s="1"/>
      <c r="Y593" s="140"/>
    </row>
    <row r="594" ht="14.25" customHeight="1">
      <c r="E594" s="1"/>
      <c r="F594" s="1"/>
      <c r="Y594" s="140"/>
    </row>
    <row r="595" ht="14.25" customHeight="1">
      <c r="E595" s="1"/>
      <c r="F595" s="1"/>
      <c r="Y595" s="140"/>
    </row>
    <row r="596" ht="14.25" customHeight="1">
      <c r="E596" s="1"/>
      <c r="F596" s="1"/>
      <c r="Y596" s="140"/>
    </row>
    <row r="597" ht="14.25" customHeight="1">
      <c r="E597" s="1"/>
      <c r="F597" s="1"/>
      <c r="Y597" s="140"/>
    </row>
    <row r="598" ht="14.25" customHeight="1">
      <c r="E598" s="1"/>
      <c r="F598" s="1"/>
      <c r="Y598" s="140"/>
    </row>
    <row r="599" ht="14.25" customHeight="1">
      <c r="E599" s="1"/>
      <c r="F599" s="1"/>
      <c r="Y599" s="140"/>
    </row>
    <row r="600" ht="14.25" customHeight="1">
      <c r="E600" s="1"/>
      <c r="F600" s="1"/>
      <c r="Y600" s="140"/>
    </row>
    <row r="601" ht="14.25" customHeight="1">
      <c r="E601" s="1"/>
      <c r="F601" s="1"/>
      <c r="Y601" s="140"/>
    </row>
    <row r="602" ht="14.25" customHeight="1">
      <c r="E602" s="1"/>
      <c r="F602" s="1"/>
      <c r="Y602" s="140"/>
    </row>
    <row r="603" ht="14.25" customHeight="1">
      <c r="E603" s="1"/>
      <c r="F603" s="1"/>
      <c r="Y603" s="140"/>
    </row>
    <row r="604" ht="14.25" customHeight="1">
      <c r="E604" s="1"/>
      <c r="F604" s="1"/>
      <c r="Y604" s="140"/>
    </row>
    <row r="605" ht="14.25" customHeight="1">
      <c r="E605" s="1"/>
      <c r="F605" s="1"/>
      <c r="Y605" s="140"/>
    </row>
    <row r="606" ht="14.25" customHeight="1">
      <c r="E606" s="1"/>
      <c r="F606" s="1"/>
      <c r="Y606" s="140"/>
    </row>
    <row r="607" ht="14.25" customHeight="1">
      <c r="E607" s="1"/>
      <c r="F607" s="1"/>
      <c r="Y607" s="140"/>
    </row>
    <row r="608" ht="14.25" customHeight="1">
      <c r="E608" s="1"/>
      <c r="F608" s="1"/>
      <c r="Y608" s="140"/>
    </row>
    <row r="609" ht="14.25" customHeight="1">
      <c r="E609" s="1"/>
      <c r="F609" s="1"/>
      <c r="Y609" s="140"/>
    </row>
    <row r="610" ht="14.25" customHeight="1">
      <c r="E610" s="1"/>
      <c r="F610" s="1"/>
      <c r="Y610" s="140"/>
    </row>
    <row r="611" ht="14.25" customHeight="1">
      <c r="E611" s="1"/>
      <c r="F611" s="1"/>
      <c r="Y611" s="140"/>
    </row>
    <row r="612" ht="14.25" customHeight="1">
      <c r="E612" s="1"/>
      <c r="F612" s="1"/>
      <c r="Y612" s="140"/>
    </row>
    <row r="613" ht="14.25" customHeight="1">
      <c r="E613" s="1"/>
      <c r="F613" s="1"/>
      <c r="Y613" s="140"/>
    </row>
    <row r="614" ht="14.25" customHeight="1">
      <c r="E614" s="1"/>
      <c r="F614" s="1"/>
      <c r="Y614" s="140"/>
    </row>
    <row r="615" ht="14.25" customHeight="1">
      <c r="E615" s="1"/>
      <c r="F615" s="1"/>
      <c r="Y615" s="140"/>
    </row>
    <row r="616" ht="14.25" customHeight="1">
      <c r="E616" s="1"/>
      <c r="F616" s="1"/>
      <c r="Y616" s="140"/>
    </row>
    <row r="617" ht="14.25" customHeight="1">
      <c r="E617" s="1"/>
      <c r="F617" s="1"/>
      <c r="Y617" s="140"/>
    </row>
    <row r="618" ht="14.25" customHeight="1">
      <c r="E618" s="1"/>
      <c r="F618" s="1"/>
      <c r="Y618" s="140"/>
    </row>
    <row r="619" ht="14.25" customHeight="1">
      <c r="E619" s="1"/>
      <c r="F619" s="1"/>
      <c r="Y619" s="140"/>
    </row>
    <row r="620" ht="14.25" customHeight="1">
      <c r="E620" s="1"/>
      <c r="F620" s="1"/>
      <c r="Y620" s="140"/>
    </row>
    <row r="621" ht="14.25" customHeight="1">
      <c r="E621" s="1"/>
      <c r="F621" s="1"/>
      <c r="Y621" s="140"/>
    </row>
    <row r="622" ht="14.25" customHeight="1">
      <c r="E622" s="1"/>
      <c r="F622" s="1"/>
      <c r="Y622" s="140"/>
    </row>
    <row r="623" ht="14.25" customHeight="1">
      <c r="E623" s="1"/>
      <c r="F623" s="1"/>
      <c r="Y623" s="140"/>
    </row>
    <row r="624" ht="14.25" customHeight="1">
      <c r="E624" s="1"/>
      <c r="F624" s="1"/>
      <c r="Y624" s="140"/>
    </row>
    <row r="625" ht="14.25" customHeight="1">
      <c r="E625" s="1"/>
      <c r="F625" s="1"/>
      <c r="Y625" s="140"/>
    </row>
    <row r="626" ht="14.25" customHeight="1">
      <c r="E626" s="1"/>
      <c r="F626" s="1"/>
      <c r="Y626" s="140"/>
    </row>
    <row r="627" ht="14.25" customHeight="1">
      <c r="E627" s="1"/>
      <c r="F627" s="1"/>
      <c r="Y627" s="140"/>
    </row>
    <row r="628" ht="14.25" customHeight="1">
      <c r="E628" s="1"/>
      <c r="F628" s="1"/>
      <c r="Y628" s="140"/>
    </row>
    <row r="629" ht="14.25" customHeight="1">
      <c r="E629" s="1"/>
      <c r="F629" s="1"/>
      <c r="Y629" s="140"/>
    </row>
    <row r="630" ht="14.25" customHeight="1">
      <c r="E630" s="1"/>
      <c r="F630" s="1"/>
      <c r="Y630" s="140"/>
    </row>
    <row r="631" ht="14.25" customHeight="1">
      <c r="E631" s="1"/>
      <c r="F631" s="1"/>
      <c r="Y631" s="140"/>
    </row>
    <row r="632" ht="14.25" customHeight="1">
      <c r="E632" s="1"/>
      <c r="F632" s="1"/>
      <c r="Y632" s="140"/>
    </row>
    <row r="633" ht="14.25" customHeight="1">
      <c r="E633" s="1"/>
      <c r="F633" s="1"/>
      <c r="Y633" s="140"/>
    </row>
    <row r="634" ht="14.25" customHeight="1">
      <c r="E634" s="1"/>
      <c r="F634" s="1"/>
      <c r="Y634" s="140"/>
    </row>
    <row r="635" ht="14.25" customHeight="1">
      <c r="E635" s="1"/>
      <c r="F635" s="1"/>
      <c r="Y635" s="140"/>
    </row>
    <row r="636" ht="14.25" customHeight="1">
      <c r="E636" s="1"/>
      <c r="F636" s="1"/>
      <c r="Y636" s="140"/>
    </row>
    <row r="637" ht="14.25" customHeight="1">
      <c r="E637" s="1"/>
      <c r="F637" s="1"/>
      <c r="Y637" s="140"/>
    </row>
    <row r="638" ht="14.25" customHeight="1">
      <c r="E638" s="1"/>
      <c r="F638" s="1"/>
      <c r="Y638" s="140"/>
    </row>
    <row r="639" ht="14.25" customHeight="1">
      <c r="E639" s="1"/>
      <c r="F639" s="1"/>
      <c r="Y639" s="140"/>
    </row>
    <row r="640" ht="14.25" customHeight="1">
      <c r="E640" s="1"/>
      <c r="F640" s="1"/>
      <c r="Y640" s="140"/>
    </row>
    <row r="641" ht="14.25" customHeight="1">
      <c r="E641" s="1"/>
      <c r="F641" s="1"/>
      <c r="Y641" s="140"/>
    </row>
    <row r="642" ht="14.25" customHeight="1">
      <c r="E642" s="1"/>
      <c r="F642" s="1"/>
      <c r="Y642" s="140"/>
    </row>
    <row r="643" ht="14.25" customHeight="1">
      <c r="E643" s="1"/>
      <c r="F643" s="1"/>
      <c r="Y643" s="140"/>
    </row>
    <row r="644" ht="14.25" customHeight="1">
      <c r="E644" s="1"/>
      <c r="F644" s="1"/>
      <c r="Y644" s="140"/>
    </row>
    <row r="645" ht="14.25" customHeight="1">
      <c r="E645" s="1"/>
      <c r="F645" s="1"/>
      <c r="Y645" s="140"/>
    </row>
    <row r="646" ht="14.25" customHeight="1">
      <c r="E646" s="1"/>
      <c r="F646" s="1"/>
      <c r="Y646" s="140"/>
    </row>
    <row r="647" ht="14.25" customHeight="1">
      <c r="E647" s="1"/>
      <c r="F647" s="1"/>
      <c r="Y647" s="140"/>
    </row>
    <row r="648" ht="14.25" customHeight="1">
      <c r="E648" s="1"/>
      <c r="F648" s="1"/>
      <c r="Y648" s="140"/>
    </row>
    <row r="649" ht="14.25" customHeight="1">
      <c r="E649" s="1"/>
      <c r="F649" s="1"/>
      <c r="Y649" s="140"/>
    </row>
    <row r="650" ht="14.25" customHeight="1">
      <c r="E650" s="1"/>
      <c r="F650" s="1"/>
      <c r="Y650" s="140"/>
    </row>
    <row r="651" ht="14.25" customHeight="1">
      <c r="E651" s="1"/>
      <c r="F651" s="1"/>
      <c r="Y651" s="140"/>
    </row>
    <row r="652" ht="14.25" customHeight="1">
      <c r="E652" s="1"/>
      <c r="F652" s="1"/>
      <c r="Y652" s="140"/>
    </row>
    <row r="653" ht="14.25" customHeight="1">
      <c r="E653" s="1"/>
      <c r="F653" s="1"/>
      <c r="Y653" s="140"/>
    </row>
    <row r="654" ht="14.25" customHeight="1">
      <c r="E654" s="1"/>
      <c r="F654" s="1"/>
      <c r="Y654" s="140"/>
    </row>
    <row r="655" ht="14.25" customHeight="1">
      <c r="E655" s="1"/>
      <c r="F655" s="1"/>
      <c r="Y655" s="140"/>
    </row>
    <row r="656" ht="14.25" customHeight="1">
      <c r="E656" s="1"/>
      <c r="F656" s="1"/>
      <c r="Y656" s="140"/>
    </row>
    <row r="657" ht="14.25" customHeight="1">
      <c r="E657" s="1"/>
      <c r="F657" s="1"/>
      <c r="Y657" s="140"/>
    </row>
    <row r="658" ht="14.25" customHeight="1">
      <c r="E658" s="1"/>
      <c r="F658" s="1"/>
      <c r="Y658" s="140"/>
    </row>
    <row r="659" ht="14.25" customHeight="1">
      <c r="E659" s="1"/>
      <c r="F659" s="1"/>
      <c r="Y659" s="140"/>
    </row>
    <row r="660" ht="14.25" customHeight="1">
      <c r="E660" s="1"/>
      <c r="F660" s="1"/>
      <c r="Y660" s="140"/>
    </row>
    <row r="661" ht="14.25" customHeight="1">
      <c r="E661" s="1"/>
      <c r="F661" s="1"/>
      <c r="Y661" s="140"/>
    </row>
    <row r="662" ht="14.25" customHeight="1">
      <c r="E662" s="1"/>
      <c r="F662" s="1"/>
      <c r="Y662" s="140"/>
    </row>
    <row r="663" ht="14.25" customHeight="1">
      <c r="E663" s="1"/>
      <c r="F663" s="1"/>
      <c r="Y663" s="140"/>
    </row>
    <row r="664" ht="14.25" customHeight="1">
      <c r="E664" s="1"/>
      <c r="F664" s="1"/>
      <c r="Y664" s="140"/>
    </row>
    <row r="665" ht="14.25" customHeight="1">
      <c r="E665" s="1"/>
      <c r="F665" s="1"/>
      <c r="Y665" s="140"/>
    </row>
    <row r="666" ht="14.25" customHeight="1">
      <c r="E666" s="1"/>
      <c r="F666" s="1"/>
      <c r="Y666" s="140"/>
    </row>
    <row r="667" ht="14.25" customHeight="1">
      <c r="E667" s="1"/>
      <c r="F667" s="1"/>
      <c r="Y667" s="140"/>
    </row>
    <row r="668" ht="14.25" customHeight="1">
      <c r="E668" s="1"/>
      <c r="F668" s="1"/>
      <c r="Y668" s="140"/>
    </row>
    <row r="669" ht="14.25" customHeight="1">
      <c r="E669" s="1"/>
      <c r="F669" s="1"/>
      <c r="Y669" s="140"/>
    </row>
    <row r="670" ht="14.25" customHeight="1">
      <c r="E670" s="1"/>
      <c r="F670" s="1"/>
      <c r="Y670" s="140"/>
    </row>
    <row r="671" ht="14.25" customHeight="1">
      <c r="E671" s="1"/>
      <c r="F671" s="1"/>
      <c r="Y671" s="140"/>
    </row>
    <row r="672" ht="14.25" customHeight="1">
      <c r="E672" s="1"/>
      <c r="F672" s="1"/>
      <c r="Y672" s="140"/>
    </row>
    <row r="673" ht="14.25" customHeight="1">
      <c r="E673" s="1"/>
      <c r="F673" s="1"/>
      <c r="Y673" s="140"/>
    </row>
    <row r="674" ht="14.25" customHeight="1">
      <c r="E674" s="1"/>
      <c r="F674" s="1"/>
      <c r="Y674" s="140"/>
    </row>
    <row r="675" ht="14.25" customHeight="1">
      <c r="E675" s="1"/>
      <c r="F675" s="1"/>
      <c r="Y675" s="140"/>
    </row>
    <row r="676" ht="14.25" customHeight="1">
      <c r="E676" s="1"/>
      <c r="F676" s="1"/>
      <c r="Y676" s="140"/>
    </row>
    <row r="677" ht="14.25" customHeight="1">
      <c r="E677" s="1"/>
      <c r="F677" s="1"/>
      <c r="Y677" s="140"/>
    </row>
    <row r="678" ht="14.25" customHeight="1">
      <c r="E678" s="1"/>
      <c r="F678" s="1"/>
      <c r="Y678" s="140"/>
    </row>
    <row r="679" ht="14.25" customHeight="1">
      <c r="E679" s="1"/>
      <c r="F679" s="1"/>
      <c r="Y679" s="140"/>
    </row>
    <row r="680" ht="14.25" customHeight="1">
      <c r="E680" s="1"/>
      <c r="F680" s="1"/>
      <c r="Y680" s="140"/>
    </row>
    <row r="681" ht="14.25" customHeight="1">
      <c r="E681" s="1"/>
      <c r="F681" s="1"/>
      <c r="Y681" s="140"/>
    </row>
    <row r="682" ht="14.25" customHeight="1">
      <c r="E682" s="1"/>
      <c r="F682" s="1"/>
      <c r="Y682" s="140"/>
    </row>
    <row r="683" ht="14.25" customHeight="1">
      <c r="E683" s="1"/>
      <c r="F683" s="1"/>
      <c r="Y683" s="140"/>
    </row>
    <row r="684" ht="14.25" customHeight="1">
      <c r="E684" s="1"/>
      <c r="F684" s="1"/>
      <c r="Y684" s="140"/>
    </row>
    <row r="685" ht="14.25" customHeight="1">
      <c r="E685" s="1"/>
      <c r="F685" s="1"/>
      <c r="Y685" s="140"/>
    </row>
    <row r="686" ht="14.25" customHeight="1">
      <c r="E686" s="1"/>
      <c r="F686" s="1"/>
      <c r="Y686" s="140"/>
    </row>
    <row r="687" ht="14.25" customHeight="1">
      <c r="E687" s="1"/>
      <c r="F687" s="1"/>
      <c r="Y687" s="140"/>
    </row>
    <row r="688" ht="14.25" customHeight="1">
      <c r="E688" s="1"/>
      <c r="F688" s="1"/>
      <c r="Y688" s="140"/>
    </row>
    <row r="689" ht="14.25" customHeight="1">
      <c r="E689" s="1"/>
      <c r="F689" s="1"/>
      <c r="Y689" s="140"/>
    </row>
    <row r="690" ht="14.25" customHeight="1">
      <c r="E690" s="1"/>
      <c r="F690" s="1"/>
      <c r="Y690" s="140"/>
    </row>
    <row r="691" ht="14.25" customHeight="1">
      <c r="E691" s="1"/>
      <c r="F691" s="1"/>
      <c r="Y691" s="140"/>
    </row>
    <row r="692" ht="14.25" customHeight="1">
      <c r="E692" s="1"/>
      <c r="F692" s="1"/>
      <c r="Y692" s="140"/>
    </row>
    <row r="693" ht="14.25" customHeight="1">
      <c r="E693" s="1"/>
      <c r="F693" s="1"/>
      <c r="Y693" s="140"/>
    </row>
    <row r="694" ht="14.25" customHeight="1">
      <c r="E694" s="1"/>
      <c r="F694" s="1"/>
      <c r="Y694" s="140"/>
    </row>
    <row r="695" ht="14.25" customHeight="1">
      <c r="E695" s="1"/>
      <c r="F695" s="1"/>
      <c r="Y695" s="140"/>
    </row>
    <row r="696" ht="14.25" customHeight="1">
      <c r="E696" s="1"/>
      <c r="F696" s="1"/>
      <c r="Y696" s="140"/>
    </row>
    <row r="697" ht="14.25" customHeight="1">
      <c r="E697" s="1"/>
      <c r="F697" s="1"/>
      <c r="Y697" s="140"/>
    </row>
    <row r="698" ht="14.25" customHeight="1">
      <c r="E698" s="1"/>
      <c r="F698" s="1"/>
      <c r="Y698" s="140"/>
    </row>
    <row r="699" ht="14.25" customHeight="1">
      <c r="E699" s="1"/>
      <c r="F699" s="1"/>
      <c r="Y699" s="140"/>
    </row>
    <row r="700" ht="14.25" customHeight="1">
      <c r="E700" s="1"/>
      <c r="F700" s="1"/>
      <c r="Y700" s="140"/>
    </row>
    <row r="701" ht="14.25" customHeight="1">
      <c r="E701" s="1"/>
      <c r="F701" s="1"/>
      <c r="Y701" s="140"/>
    </row>
    <row r="702" ht="14.25" customHeight="1">
      <c r="E702" s="1"/>
      <c r="F702" s="1"/>
      <c r="Y702" s="140"/>
    </row>
    <row r="703" ht="14.25" customHeight="1">
      <c r="E703" s="1"/>
      <c r="F703" s="1"/>
      <c r="Y703" s="140"/>
    </row>
    <row r="704" ht="14.25" customHeight="1">
      <c r="E704" s="1"/>
      <c r="F704" s="1"/>
      <c r="Y704" s="140"/>
    </row>
    <row r="705" ht="14.25" customHeight="1">
      <c r="E705" s="1"/>
      <c r="F705" s="1"/>
      <c r="Y705" s="140"/>
    </row>
    <row r="706" ht="14.25" customHeight="1">
      <c r="E706" s="1"/>
      <c r="F706" s="1"/>
      <c r="Y706" s="140"/>
    </row>
    <row r="707" ht="14.25" customHeight="1">
      <c r="E707" s="1"/>
      <c r="F707" s="1"/>
      <c r="Y707" s="140"/>
    </row>
    <row r="708" ht="14.25" customHeight="1">
      <c r="E708" s="1"/>
      <c r="F708" s="1"/>
      <c r="Y708" s="140"/>
    </row>
    <row r="709" ht="14.25" customHeight="1">
      <c r="E709" s="1"/>
      <c r="F709" s="1"/>
      <c r="Y709" s="140"/>
    </row>
    <row r="710" ht="14.25" customHeight="1">
      <c r="E710" s="1"/>
      <c r="F710" s="1"/>
      <c r="Y710" s="140"/>
    </row>
    <row r="711" ht="14.25" customHeight="1">
      <c r="E711" s="1"/>
      <c r="F711" s="1"/>
      <c r="Y711" s="140"/>
    </row>
    <row r="712" ht="14.25" customHeight="1">
      <c r="E712" s="1"/>
      <c r="F712" s="1"/>
      <c r="Y712" s="140"/>
    </row>
    <row r="713" ht="14.25" customHeight="1">
      <c r="E713" s="1"/>
      <c r="F713" s="1"/>
      <c r="Y713" s="140"/>
    </row>
    <row r="714" ht="14.25" customHeight="1">
      <c r="E714" s="1"/>
      <c r="F714" s="1"/>
      <c r="Y714" s="140"/>
    </row>
    <row r="715" ht="14.25" customHeight="1">
      <c r="E715" s="1"/>
      <c r="F715" s="1"/>
      <c r="Y715" s="140"/>
    </row>
    <row r="716" ht="14.25" customHeight="1">
      <c r="E716" s="1"/>
      <c r="F716" s="1"/>
      <c r="Y716" s="140"/>
    </row>
    <row r="717" ht="14.25" customHeight="1">
      <c r="E717" s="1"/>
      <c r="F717" s="1"/>
      <c r="Y717" s="140"/>
    </row>
    <row r="718" ht="14.25" customHeight="1">
      <c r="E718" s="1"/>
      <c r="F718" s="1"/>
      <c r="Y718" s="140"/>
    </row>
    <row r="719" ht="14.25" customHeight="1">
      <c r="E719" s="1"/>
      <c r="F719" s="1"/>
      <c r="Y719" s="140"/>
    </row>
    <row r="720" ht="14.25" customHeight="1">
      <c r="E720" s="1"/>
      <c r="F720" s="1"/>
      <c r="Y720" s="140"/>
    </row>
    <row r="721" ht="14.25" customHeight="1">
      <c r="E721" s="1"/>
      <c r="F721" s="1"/>
      <c r="Y721" s="140"/>
    </row>
    <row r="722" ht="14.25" customHeight="1">
      <c r="E722" s="1"/>
      <c r="F722" s="1"/>
      <c r="Y722" s="140"/>
    </row>
    <row r="723" ht="14.25" customHeight="1">
      <c r="E723" s="1"/>
      <c r="F723" s="1"/>
      <c r="Y723" s="140"/>
    </row>
    <row r="724" ht="14.25" customHeight="1">
      <c r="E724" s="1"/>
      <c r="F724" s="1"/>
      <c r="Y724" s="140"/>
    </row>
    <row r="725" ht="14.25" customHeight="1">
      <c r="E725" s="1"/>
      <c r="F725" s="1"/>
      <c r="Y725" s="140"/>
    </row>
    <row r="726" ht="14.25" customHeight="1">
      <c r="E726" s="1"/>
      <c r="F726" s="1"/>
      <c r="Y726" s="140"/>
    </row>
    <row r="727" ht="14.25" customHeight="1">
      <c r="E727" s="1"/>
      <c r="F727" s="1"/>
      <c r="Y727" s="140"/>
    </row>
    <row r="728" ht="14.25" customHeight="1">
      <c r="E728" s="1"/>
      <c r="F728" s="1"/>
      <c r="Y728" s="140"/>
    </row>
    <row r="729" ht="14.25" customHeight="1">
      <c r="E729" s="1"/>
      <c r="F729" s="1"/>
      <c r="Y729" s="140"/>
    </row>
    <row r="730" ht="14.25" customHeight="1">
      <c r="E730" s="1"/>
      <c r="F730" s="1"/>
      <c r="Y730" s="140"/>
    </row>
    <row r="731" ht="14.25" customHeight="1">
      <c r="E731" s="1"/>
      <c r="F731" s="1"/>
      <c r="Y731" s="140"/>
    </row>
    <row r="732" ht="14.25" customHeight="1">
      <c r="E732" s="1"/>
      <c r="F732" s="1"/>
      <c r="Y732" s="140"/>
    </row>
    <row r="733" ht="14.25" customHeight="1">
      <c r="E733" s="1"/>
      <c r="F733" s="1"/>
      <c r="Y733" s="140"/>
    </row>
    <row r="734" ht="14.25" customHeight="1">
      <c r="E734" s="1"/>
      <c r="F734" s="1"/>
      <c r="Y734" s="140"/>
    </row>
    <row r="735" ht="14.25" customHeight="1">
      <c r="E735" s="1"/>
      <c r="F735" s="1"/>
      <c r="Y735" s="140"/>
    </row>
    <row r="736" ht="14.25" customHeight="1">
      <c r="E736" s="1"/>
      <c r="F736" s="1"/>
      <c r="Y736" s="140"/>
    </row>
    <row r="737" ht="14.25" customHeight="1">
      <c r="E737" s="1"/>
      <c r="F737" s="1"/>
      <c r="Y737" s="140"/>
    </row>
    <row r="738" ht="14.25" customHeight="1">
      <c r="E738" s="1"/>
      <c r="F738" s="1"/>
      <c r="Y738" s="140"/>
    </row>
    <row r="739" ht="14.25" customHeight="1">
      <c r="E739" s="1"/>
      <c r="F739" s="1"/>
      <c r="Y739" s="140"/>
    </row>
    <row r="740" ht="14.25" customHeight="1">
      <c r="E740" s="1"/>
      <c r="F740" s="1"/>
      <c r="Y740" s="140"/>
    </row>
    <row r="741" ht="14.25" customHeight="1">
      <c r="E741" s="1"/>
      <c r="F741" s="1"/>
      <c r="Y741" s="140"/>
    </row>
    <row r="742" ht="14.25" customHeight="1">
      <c r="E742" s="1"/>
      <c r="F742" s="1"/>
      <c r="Y742" s="140"/>
    </row>
    <row r="743" ht="14.25" customHeight="1">
      <c r="E743" s="1"/>
      <c r="F743" s="1"/>
      <c r="Y743" s="140"/>
    </row>
    <row r="744" ht="14.25" customHeight="1">
      <c r="E744" s="1"/>
      <c r="F744" s="1"/>
      <c r="Y744" s="140"/>
    </row>
    <row r="745" ht="14.25" customHeight="1">
      <c r="E745" s="1"/>
      <c r="F745" s="1"/>
      <c r="Y745" s="140"/>
    </row>
    <row r="746" ht="14.25" customHeight="1">
      <c r="E746" s="1"/>
      <c r="F746" s="1"/>
      <c r="Y746" s="140"/>
    </row>
    <row r="747" ht="14.25" customHeight="1">
      <c r="E747" s="1"/>
      <c r="F747" s="1"/>
      <c r="Y747" s="140"/>
    </row>
    <row r="748" ht="14.25" customHeight="1">
      <c r="E748" s="1"/>
      <c r="F748" s="1"/>
      <c r="Y748" s="140"/>
    </row>
    <row r="749" ht="14.25" customHeight="1">
      <c r="E749" s="1"/>
      <c r="F749" s="1"/>
      <c r="Y749" s="140"/>
    </row>
    <row r="750" ht="14.25" customHeight="1">
      <c r="E750" s="1"/>
      <c r="F750" s="1"/>
      <c r="Y750" s="140"/>
    </row>
    <row r="751" ht="14.25" customHeight="1">
      <c r="E751" s="1"/>
      <c r="F751" s="1"/>
      <c r="Y751" s="140"/>
    </row>
    <row r="752" ht="14.25" customHeight="1">
      <c r="E752" s="1"/>
      <c r="F752" s="1"/>
      <c r="Y752" s="140"/>
    </row>
    <row r="753" ht="14.25" customHeight="1">
      <c r="E753" s="1"/>
      <c r="F753" s="1"/>
      <c r="Y753" s="140"/>
    </row>
    <row r="754" ht="14.25" customHeight="1">
      <c r="E754" s="1"/>
      <c r="F754" s="1"/>
      <c r="Y754" s="140"/>
    </row>
    <row r="755" ht="14.25" customHeight="1">
      <c r="E755" s="1"/>
      <c r="F755" s="1"/>
      <c r="Y755" s="140"/>
    </row>
    <row r="756" ht="14.25" customHeight="1">
      <c r="E756" s="1"/>
      <c r="F756" s="1"/>
      <c r="Y756" s="140"/>
    </row>
    <row r="757" ht="14.25" customHeight="1">
      <c r="E757" s="1"/>
      <c r="F757" s="1"/>
      <c r="Y757" s="140"/>
    </row>
    <row r="758" ht="14.25" customHeight="1">
      <c r="E758" s="1"/>
      <c r="F758" s="1"/>
      <c r="Y758" s="140"/>
    </row>
    <row r="759" ht="14.25" customHeight="1">
      <c r="E759" s="1"/>
      <c r="F759" s="1"/>
      <c r="Y759" s="140"/>
    </row>
    <row r="760" ht="14.25" customHeight="1">
      <c r="E760" s="1"/>
      <c r="F760" s="1"/>
      <c r="Y760" s="140"/>
    </row>
    <row r="761" ht="14.25" customHeight="1">
      <c r="E761" s="1"/>
      <c r="F761" s="1"/>
      <c r="Y761" s="140"/>
    </row>
    <row r="762" ht="14.25" customHeight="1">
      <c r="E762" s="1"/>
      <c r="F762" s="1"/>
      <c r="Y762" s="140"/>
    </row>
    <row r="763" ht="14.25" customHeight="1">
      <c r="E763" s="1"/>
      <c r="F763" s="1"/>
      <c r="Y763" s="140"/>
    </row>
    <row r="764" ht="14.25" customHeight="1">
      <c r="E764" s="1"/>
      <c r="F764" s="1"/>
      <c r="Y764" s="140"/>
    </row>
    <row r="765" ht="14.25" customHeight="1">
      <c r="E765" s="1"/>
      <c r="F765" s="1"/>
      <c r="Y765" s="140"/>
    </row>
    <row r="766" ht="14.25" customHeight="1">
      <c r="E766" s="1"/>
      <c r="F766" s="1"/>
      <c r="Y766" s="140"/>
    </row>
    <row r="767" ht="14.25" customHeight="1">
      <c r="E767" s="1"/>
      <c r="F767" s="1"/>
      <c r="Y767" s="140"/>
    </row>
    <row r="768" ht="14.25" customHeight="1">
      <c r="E768" s="1"/>
      <c r="F768" s="1"/>
      <c r="Y768" s="140"/>
    </row>
    <row r="769" ht="14.25" customHeight="1">
      <c r="E769" s="1"/>
      <c r="F769" s="1"/>
      <c r="Y769" s="140"/>
    </row>
    <row r="770" ht="14.25" customHeight="1">
      <c r="E770" s="1"/>
      <c r="F770" s="1"/>
      <c r="Y770" s="140"/>
    </row>
    <row r="771" ht="14.25" customHeight="1">
      <c r="E771" s="1"/>
      <c r="F771" s="1"/>
      <c r="Y771" s="140"/>
    </row>
    <row r="772" ht="14.25" customHeight="1">
      <c r="E772" s="1"/>
      <c r="F772" s="1"/>
      <c r="Y772" s="140"/>
    </row>
    <row r="773" ht="14.25" customHeight="1">
      <c r="E773" s="1"/>
      <c r="F773" s="1"/>
      <c r="Y773" s="140"/>
    </row>
    <row r="774" ht="14.25" customHeight="1">
      <c r="E774" s="1"/>
      <c r="F774" s="1"/>
      <c r="Y774" s="140"/>
    </row>
    <row r="775" ht="14.25" customHeight="1">
      <c r="E775" s="1"/>
      <c r="F775" s="1"/>
      <c r="Y775" s="140"/>
    </row>
    <row r="776" ht="14.25" customHeight="1">
      <c r="E776" s="1"/>
      <c r="F776" s="1"/>
      <c r="Y776" s="140"/>
    </row>
    <row r="777" ht="14.25" customHeight="1">
      <c r="E777" s="1"/>
      <c r="F777" s="1"/>
      <c r="Y777" s="140"/>
    </row>
    <row r="778" ht="14.25" customHeight="1">
      <c r="E778" s="1"/>
      <c r="F778" s="1"/>
      <c r="Y778" s="140"/>
    </row>
    <row r="779" ht="14.25" customHeight="1">
      <c r="E779" s="1"/>
      <c r="F779" s="1"/>
      <c r="Y779" s="140"/>
    </row>
    <row r="780" ht="14.25" customHeight="1">
      <c r="E780" s="1"/>
      <c r="F780" s="1"/>
      <c r="Y780" s="140"/>
    </row>
    <row r="781" ht="14.25" customHeight="1">
      <c r="E781" s="1"/>
      <c r="F781" s="1"/>
      <c r="Y781" s="140"/>
    </row>
    <row r="782" ht="14.25" customHeight="1">
      <c r="E782" s="1"/>
      <c r="F782" s="1"/>
      <c r="Y782" s="140"/>
    </row>
    <row r="783" ht="14.25" customHeight="1">
      <c r="E783" s="1"/>
      <c r="F783" s="1"/>
      <c r="Y783" s="140"/>
    </row>
    <row r="784" ht="14.25" customHeight="1">
      <c r="E784" s="1"/>
      <c r="F784" s="1"/>
      <c r="Y784" s="140"/>
    </row>
    <row r="785" ht="14.25" customHeight="1">
      <c r="E785" s="1"/>
      <c r="F785" s="1"/>
      <c r="Y785" s="140"/>
    </row>
    <row r="786" ht="14.25" customHeight="1">
      <c r="E786" s="1"/>
      <c r="F786" s="1"/>
      <c r="Y786" s="140"/>
    </row>
    <row r="787" ht="14.25" customHeight="1">
      <c r="E787" s="1"/>
      <c r="F787" s="1"/>
      <c r="Y787" s="140"/>
    </row>
    <row r="788" ht="14.25" customHeight="1">
      <c r="E788" s="1"/>
      <c r="F788" s="1"/>
      <c r="Y788" s="140"/>
    </row>
    <row r="789" ht="14.25" customHeight="1">
      <c r="E789" s="1"/>
      <c r="F789" s="1"/>
      <c r="Y789" s="140"/>
    </row>
    <row r="790" ht="14.25" customHeight="1">
      <c r="E790" s="1"/>
      <c r="F790" s="1"/>
      <c r="Y790" s="140"/>
    </row>
    <row r="791" ht="14.25" customHeight="1">
      <c r="E791" s="1"/>
      <c r="F791" s="1"/>
      <c r="Y791" s="140"/>
    </row>
    <row r="792" ht="14.25" customHeight="1">
      <c r="E792" s="1"/>
      <c r="F792" s="1"/>
      <c r="Y792" s="140"/>
    </row>
    <row r="793" ht="14.25" customHeight="1">
      <c r="E793" s="1"/>
      <c r="F793" s="1"/>
      <c r="Y793" s="140"/>
    </row>
    <row r="794" ht="14.25" customHeight="1">
      <c r="E794" s="1"/>
      <c r="F794" s="1"/>
      <c r="Y794" s="140"/>
    </row>
    <row r="795" ht="14.25" customHeight="1">
      <c r="E795" s="1"/>
      <c r="F795" s="1"/>
      <c r="Y795" s="140"/>
    </row>
    <row r="796" ht="14.25" customHeight="1">
      <c r="E796" s="1"/>
      <c r="F796" s="1"/>
      <c r="Y796" s="140"/>
    </row>
    <row r="797" ht="14.25" customHeight="1">
      <c r="E797" s="1"/>
      <c r="F797" s="1"/>
      <c r="Y797" s="140"/>
    </row>
    <row r="798" ht="14.25" customHeight="1">
      <c r="E798" s="1"/>
      <c r="F798" s="1"/>
      <c r="Y798" s="140"/>
    </row>
    <row r="799" ht="14.25" customHeight="1">
      <c r="E799" s="1"/>
      <c r="F799" s="1"/>
      <c r="Y799" s="140"/>
    </row>
    <row r="800" ht="14.25" customHeight="1">
      <c r="E800" s="1"/>
      <c r="F800" s="1"/>
      <c r="Y800" s="140"/>
    </row>
    <row r="801" ht="14.25" customHeight="1">
      <c r="E801" s="1"/>
      <c r="F801" s="1"/>
      <c r="Y801" s="140"/>
    </row>
    <row r="802" ht="14.25" customHeight="1">
      <c r="E802" s="1"/>
      <c r="F802" s="1"/>
      <c r="Y802" s="140"/>
    </row>
    <row r="803" ht="14.25" customHeight="1">
      <c r="E803" s="1"/>
      <c r="F803" s="1"/>
      <c r="Y803" s="140"/>
    </row>
    <row r="804" ht="14.25" customHeight="1">
      <c r="E804" s="1"/>
      <c r="F804" s="1"/>
      <c r="Y804" s="140"/>
    </row>
    <row r="805" ht="14.25" customHeight="1">
      <c r="E805" s="1"/>
      <c r="F805" s="1"/>
      <c r="Y805" s="140"/>
    </row>
    <row r="806" ht="14.25" customHeight="1">
      <c r="E806" s="1"/>
      <c r="F806" s="1"/>
      <c r="Y806" s="140"/>
    </row>
    <row r="807" ht="14.25" customHeight="1">
      <c r="E807" s="1"/>
      <c r="F807" s="1"/>
      <c r="Y807" s="140"/>
    </row>
    <row r="808" ht="14.25" customHeight="1">
      <c r="E808" s="1"/>
      <c r="F808" s="1"/>
      <c r="Y808" s="140"/>
    </row>
    <row r="809" ht="14.25" customHeight="1">
      <c r="E809" s="1"/>
      <c r="F809" s="1"/>
      <c r="Y809" s="140"/>
    </row>
    <row r="810" ht="14.25" customHeight="1">
      <c r="E810" s="1"/>
      <c r="F810" s="1"/>
      <c r="Y810" s="140"/>
    </row>
    <row r="811" ht="14.25" customHeight="1">
      <c r="E811" s="1"/>
      <c r="F811" s="1"/>
      <c r="Y811" s="140"/>
    </row>
    <row r="812" ht="14.25" customHeight="1">
      <c r="E812" s="1"/>
      <c r="F812" s="1"/>
      <c r="Y812" s="140"/>
    </row>
    <row r="813" ht="14.25" customHeight="1">
      <c r="E813" s="1"/>
      <c r="F813" s="1"/>
      <c r="Y813" s="140"/>
    </row>
    <row r="814" ht="14.25" customHeight="1">
      <c r="E814" s="1"/>
      <c r="F814" s="1"/>
      <c r="Y814" s="140"/>
    </row>
    <row r="815" ht="14.25" customHeight="1">
      <c r="E815" s="1"/>
      <c r="F815" s="1"/>
      <c r="Y815" s="140"/>
    </row>
    <row r="816" ht="14.25" customHeight="1">
      <c r="E816" s="1"/>
      <c r="F816" s="1"/>
      <c r="Y816" s="140"/>
    </row>
    <row r="817" ht="14.25" customHeight="1">
      <c r="E817" s="1"/>
      <c r="F817" s="1"/>
      <c r="Y817" s="140"/>
    </row>
    <row r="818" ht="14.25" customHeight="1">
      <c r="E818" s="1"/>
      <c r="F818" s="1"/>
      <c r="Y818" s="140"/>
    </row>
    <row r="819" ht="14.25" customHeight="1">
      <c r="E819" s="1"/>
      <c r="F819" s="1"/>
      <c r="Y819" s="140"/>
    </row>
    <row r="820" ht="14.25" customHeight="1">
      <c r="E820" s="1"/>
      <c r="F820" s="1"/>
      <c r="Y820" s="140"/>
    </row>
    <row r="821" ht="14.25" customHeight="1">
      <c r="E821" s="1"/>
      <c r="F821" s="1"/>
      <c r="Y821" s="140"/>
    </row>
    <row r="822" ht="14.25" customHeight="1">
      <c r="E822" s="1"/>
      <c r="F822" s="1"/>
      <c r="Y822" s="140"/>
    </row>
    <row r="823" ht="14.25" customHeight="1">
      <c r="E823" s="1"/>
      <c r="F823" s="1"/>
      <c r="Y823" s="140"/>
    </row>
    <row r="824" ht="14.25" customHeight="1">
      <c r="E824" s="1"/>
      <c r="F824" s="1"/>
      <c r="Y824" s="140"/>
    </row>
    <row r="825" ht="14.25" customHeight="1">
      <c r="E825" s="1"/>
      <c r="F825" s="1"/>
      <c r="Y825" s="140"/>
    </row>
    <row r="826" ht="14.25" customHeight="1">
      <c r="E826" s="1"/>
      <c r="F826" s="1"/>
      <c r="Y826" s="140"/>
    </row>
    <row r="827" ht="14.25" customHeight="1">
      <c r="E827" s="1"/>
      <c r="F827" s="1"/>
      <c r="Y827" s="140"/>
    </row>
    <row r="828" ht="14.25" customHeight="1">
      <c r="E828" s="1"/>
      <c r="F828" s="1"/>
      <c r="Y828" s="140"/>
    </row>
    <row r="829" ht="14.25" customHeight="1">
      <c r="E829" s="1"/>
      <c r="F829" s="1"/>
      <c r="Y829" s="140"/>
    </row>
    <row r="830" ht="14.25" customHeight="1">
      <c r="E830" s="1"/>
      <c r="F830" s="1"/>
      <c r="Y830" s="140"/>
    </row>
    <row r="831" ht="14.25" customHeight="1">
      <c r="E831" s="1"/>
      <c r="F831" s="1"/>
      <c r="Y831" s="140"/>
    </row>
    <row r="832" ht="14.25" customHeight="1">
      <c r="E832" s="1"/>
      <c r="F832" s="1"/>
      <c r="Y832" s="140"/>
    </row>
    <row r="833" ht="14.25" customHeight="1">
      <c r="E833" s="1"/>
      <c r="F833" s="1"/>
      <c r="Y833" s="140"/>
    </row>
    <row r="834" ht="14.25" customHeight="1">
      <c r="E834" s="1"/>
      <c r="F834" s="1"/>
      <c r="Y834" s="140"/>
    </row>
    <row r="835" ht="14.25" customHeight="1">
      <c r="E835" s="1"/>
      <c r="F835" s="1"/>
      <c r="Y835" s="140"/>
    </row>
    <row r="836" ht="14.25" customHeight="1">
      <c r="E836" s="1"/>
      <c r="F836" s="1"/>
      <c r="Y836" s="140"/>
    </row>
    <row r="837" ht="14.25" customHeight="1">
      <c r="E837" s="1"/>
      <c r="F837" s="1"/>
      <c r="Y837" s="140"/>
    </row>
    <row r="838" ht="14.25" customHeight="1">
      <c r="E838" s="1"/>
      <c r="F838" s="1"/>
      <c r="Y838" s="140"/>
    </row>
    <row r="839" ht="14.25" customHeight="1">
      <c r="E839" s="1"/>
      <c r="F839" s="1"/>
      <c r="Y839" s="140"/>
    </row>
    <row r="840" ht="14.25" customHeight="1">
      <c r="E840" s="1"/>
      <c r="F840" s="1"/>
      <c r="Y840" s="140"/>
    </row>
    <row r="841" ht="14.25" customHeight="1">
      <c r="E841" s="1"/>
      <c r="F841" s="1"/>
      <c r="Y841" s="140"/>
    </row>
    <row r="842" ht="14.25" customHeight="1">
      <c r="E842" s="1"/>
      <c r="F842" s="1"/>
      <c r="Y842" s="140"/>
    </row>
    <row r="843" ht="14.25" customHeight="1">
      <c r="E843" s="1"/>
      <c r="F843" s="1"/>
      <c r="Y843" s="140"/>
    </row>
    <row r="844" ht="14.25" customHeight="1">
      <c r="E844" s="1"/>
      <c r="F844" s="1"/>
      <c r="Y844" s="140"/>
    </row>
    <row r="845" ht="14.25" customHeight="1">
      <c r="E845" s="1"/>
      <c r="F845" s="1"/>
      <c r="Y845" s="140"/>
    </row>
    <row r="846" ht="14.25" customHeight="1">
      <c r="E846" s="1"/>
      <c r="F846" s="1"/>
      <c r="Y846" s="140"/>
    </row>
    <row r="847" ht="14.25" customHeight="1">
      <c r="E847" s="1"/>
      <c r="F847" s="1"/>
      <c r="Y847" s="140"/>
    </row>
    <row r="848" ht="14.25" customHeight="1">
      <c r="E848" s="1"/>
      <c r="F848" s="1"/>
      <c r="Y848" s="140"/>
    </row>
    <row r="849" ht="14.25" customHeight="1">
      <c r="E849" s="1"/>
      <c r="F849" s="1"/>
      <c r="Y849" s="140"/>
    </row>
    <row r="850" ht="14.25" customHeight="1">
      <c r="E850" s="1"/>
      <c r="F850" s="1"/>
      <c r="Y850" s="140"/>
    </row>
    <row r="851" ht="14.25" customHeight="1">
      <c r="E851" s="1"/>
      <c r="F851" s="1"/>
      <c r="Y851" s="140"/>
    </row>
    <row r="852" ht="14.25" customHeight="1">
      <c r="E852" s="1"/>
      <c r="F852" s="1"/>
      <c r="Y852" s="140"/>
    </row>
    <row r="853" ht="14.25" customHeight="1">
      <c r="E853" s="1"/>
      <c r="F853" s="1"/>
      <c r="Y853" s="140"/>
    </row>
    <row r="854" ht="14.25" customHeight="1">
      <c r="E854" s="1"/>
      <c r="F854" s="1"/>
      <c r="Y854" s="140"/>
    </row>
    <row r="855" ht="14.25" customHeight="1">
      <c r="E855" s="1"/>
      <c r="F855" s="1"/>
      <c r="Y855" s="140"/>
    </row>
    <row r="856" ht="14.25" customHeight="1">
      <c r="E856" s="1"/>
      <c r="F856" s="1"/>
      <c r="Y856" s="140"/>
    </row>
    <row r="857" ht="14.25" customHeight="1">
      <c r="E857" s="1"/>
      <c r="F857" s="1"/>
      <c r="Y857" s="140"/>
    </row>
    <row r="858" ht="14.25" customHeight="1">
      <c r="E858" s="1"/>
      <c r="F858" s="1"/>
      <c r="Y858" s="140"/>
    </row>
    <row r="859" ht="14.25" customHeight="1">
      <c r="E859" s="1"/>
      <c r="F859" s="1"/>
      <c r="Y859" s="140"/>
    </row>
    <row r="860" ht="14.25" customHeight="1">
      <c r="E860" s="1"/>
      <c r="F860" s="1"/>
      <c r="Y860" s="140"/>
    </row>
    <row r="861" ht="14.25" customHeight="1">
      <c r="E861" s="1"/>
      <c r="F861" s="1"/>
      <c r="Y861" s="140"/>
    </row>
    <row r="862" ht="14.25" customHeight="1">
      <c r="E862" s="1"/>
      <c r="F862" s="1"/>
      <c r="Y862" s="140"/>
    </row>
    <row r="863" ht="14.25" customHeight="1">
      <c r="E863" s="1"/>
      <c r="F863" s="1"/>
      <c r="Y863" s="140"/>
    </row>
    <row r="864" ht="14.25" customHeight="1">
      <c r="E864" s="1"/>
      <c r="F864" s="1"/>
      <c r="Y864" s="140"/>
    </row>
    <row r="865" ht="14.25" customHeight="1">
      <c r="E865" s="1"/>
      <c r="F865" s="1"/>
      <c r="Y865" s="140"/>
    </row>
    <row r="866" ht="14.25" customHeight="1">
      <c r="E866" s="1"/>
      <c r="F866" s="1"/>
      <c r="Y866" s="140"/>
    </row>
    <row r="867" ht="14.25" customHeight="1">
      <c r="E867" s="1"/>
      <c r="F867" s="1"/>
      <c r="Y867" s="140"/>
    </row>
    <row r="868" ht="14.25" customHeight="1">
      <c r="E868" s="1"/>
      <c r="F868" s="1"/>
      <c r="Y868" s="140"/>
    </row>
    <row r="869" ht="14.25" customHeight="1">
      <c r="E869" s="1"/>
      <c r="F869" s="1"/>
      <c r="Y869" s="140"/>
    </row>
    <row r="870" ht="14.25" customHeight="1">
      <c r="E870" s="1"/>
      <c r="F870" s="1"/>
      <c r="Y870" s="140"/>
    </row>
    <row r="871" ht="14.25" customHeight="1">
      <c r="E871" s="1"/>
      <c r="F871" s="1"/>
      <c r="Y871" s="140"/>
    </row>
    <row r="872" ht="14.25" customHeight="1">
      <c r="E872" s="1"/>
      <c r="F872" s="1"/>
      <c r="Y872" s="140"/>
    </row>
    <row r="873" ht="14.25" customHeight="1">
      <c r="E873" s="1"/>
      <c r="F873" s="1"/>
      <c r="Y873" s="140"/>
    </row>
    <row r="874" ht="14.25" customHeight="1">
      <c r="E874" s="1"/>
      <c r="F874" s="1"/>
      <c r="Y874" s="140"/>
    </row>
    <row r="875" ht="14.25" customHeight="1">
      <c r="E875" s="1"/>
      <c r="F875" s="1"/>
      <c r="Y875" s="140"/>
    </row>
    <row r="876" ht="14.25" customHeight="1">
      <c r="E876" s="1"/>
      <c r="F876" s="1"/>
      <c r="Y876" s="140"/>
    </row>
    <row r="877" ht="14.25" customHeight="1">
      <c r="E877" s="1"/>
      <c r="F877" s="1"/>
      <c r="Y877" s="140"/>
    </row>
    <row r="878" ht="14.25" customHeight="1">
      <c r="E878" s="1"/>
      <c r="F878" s="1"/>
      <c r="Y878" s="140"/>
    </row>
    <row r="879" ht="14.25" customHeight="1">
      <c r="E879" s="1"/>
      <c r="F879" s="1"/>
      <c r="Y879" s="140"/>
    </row>
    <row r="880" ht="14.25" customHeight="1">
      <c r="E880" s="1"/>
      <c r="F880" s="1"/>
      <c r="Y880" s="140"/>
    </row>
    <row r="881" ht="14.25" customHeight="1">
      <c r="E881" s="1"/>
      <c r="F881" s="1"/>
      <c r="Y881" s="140"/>
    </row>
    <row r="882" ht="14.25" customHeight="1">
      <c r="E882" s="1"/>
      <c r="F882" s="1"/>
      <c r="Y882" s="140"/>
    </row>
    <row r="883" ht="14.25" customHeight="1">
      <c r="E883" s="1"/>
      <c r="F883" s="1"/>
      <c r="Y883" s="140"/>
    </row>
    <row r="884" ht="14.25" customHeight="1">
      <c r="E884" s="1"/>
      <c r="F884" s="1"/>
      <c r="Y884" s="140"/>
    </row>
    <row r="885" ht="14.25" customHeight="1">
      <c r="E885" s="1"/>
      <c r="F885" s="1"/>
      <c r="Y885" s="140"/>
    </row>
    <row r="886" ht="14.25" customHeight="1">
      <c r="E886" s="1"/>
      <c r="F886" s="1"/>
      <c r="Y886" s="140"/>
    </row>
    <row r="887" ht="14.25" customHeight="1">
      <c r="E887" s="1"/>
      <c r="F887" s="1"/>
      <c r="Y887" s="140"/>
    </row>
    <row r="888" ht="14.25" customHeight="1">
      <c r="E888" s="1"/>
      <c r="F888" s="1"/>
      <c r="Y888" s="140"/>
    </row>
    <row r="889" ht="14.25" customHeight="1">
      <c r="E889" s="1"/>
      <c r="F889" s="1"/>
      <c r="Y889" s="140"/>
    </row>
    <row r="890" ht="14.25" customHeight="1">
      <c r="E890" s="1"/>
      <c r="F890" s="1"/>
      <c r="Y890" s="140"/>
    </row>
    <row r="891" ht="14.25" customHeight="1">
      <c r="E891" s="1"/>
      <c r="F891" s="1"/>
      <c r="Y891" s="140"/>
    </row>
    <row r="892" ht="14.25" customHeight="1">
      <c r="E892" s="1"/>
      <c r="F892" s="1"/>
      <c r="Y892" s="140"/>
    </row>
    <row r="893" ht="14.25" customHeight="1">
      <c r="E893" s="1"/>
      <c r="F893" s="1"/>
      <c r="Y893" s="140"/>
    </row>
    <row r="894" ht="14.25" customHeight="1">
      <c r="E894" s="1"/>
      <c r="F894" s="1"/>
      <c r="Y894" s="140"/>
    </row>
    <row r="895" ht="14.25" customHeight="1">
      <c r="E895" s="1"/>
      <c r="F895" s="1"/>
      <c r="Y895" s="140"/>
    </row>
    <row r="896" ht="14.25" customHeight="1">
      <c r="E896" s="1"/>
      <c r="F896" s="1"/>
      <c r="Y896" s="140"/>
    </row>
    <row r="897" ht="14.25" customHeight="1">
      <c r="E897" s="1"/>
      <c r="F897" s="1"/>
      <c r="Y897" s="140"/>
    </row>
    <row r="898" ht="14.25" customHeight="1">
      <c r="E898" s="1"/>
      <c r="F898" s="1"/>
      <c r="Y898" s="140"/>
    </row>
    <row r="899" ht="14.25" customHeight="1">
      <c r="E899" s="1"/>
      <c r="F899" s="1"/>
      <c r="Y899" s="140"/>
    </row>
    <row r="900" ht="14.25" customHeight="1">
      <c r="E900" s="1"/>
      <c r="F900" s="1"/>
      <c r="Y900" s="140"/>
    </row>
    <row r="901" ht="14.25" customHeight="1">
      <c r="E901" s="1"/>
      <c r="F901" s="1"/>
      <c r="Y901" s="140"/>
    </row>
    <row r="902" ht="14.25" customHeight="1">
      <c r="E902" s="1"/>
      <c r="F902" s="1"/>
      <c r="Y902" s="140"/>
    </row>
    <row r="903" ht="14.25" customHeight="1">
      <c r="E903" s="1"/>
      <c r="F903" s="1"/>
      <c r="Y903" s="140"/>
    </row>
    <row r="904" ht="14.25" customHeight="1">
      <c r="E904" s="1"/>
      <c r="F904" s="1"/>
      <c r="Y904" s="140"/>
    </row>
    <row r="905" ht="14.25" customHeight="1">
      <c r="E905" s="1"/>
      <c r="F905" s="1"/>
      <c r="Y905" s="140"/>
    </row>
    <row r="906" ht="14.25" customHeight="1">
      <c r="E906" s="1"/>
      <c r="F906" s="1"/>
      <c r="Y906" s="140"/>
    </row>
    <row r="907" ht="14.25" customHeight="1">
      <c r="E907" s="1"/>
      <c r="F907" s="1"/>
      <c r="Y907" s="140"/>
    </row>
    <row r="908" ht="14.25" customHeight="1">
      <c r="E908" s="1"/>
      <c r="F908" s="1"/>
      <c r="Y908" s="140"/>
    </row>
    <row r="909" ht="14.25" customHeight="1">
      <c r="E909" s="1"/>
      <c r="F909" s="1"/>
      <c r="Y909" s="140"/>
    </row>
    <row r="910" ht="14.25" customHeight="1">
      <c r="E910" s="1"/>
      <c r="F910" s="1"/>
      <c r="Y910" s="140"/>
    </row>
    <row r="911" ht="14.25" customHeight="1">
      <c r="E911" s="1"/>
      <c r="F911" s="1"/>
      <c r="Y911" s="140"/>
    </row>
    <row r="912" ht="14.25" customHeight="1">
      <c r="E912" s="1"/>
      <c r="F912" s="1"/>
      <c r="Y912" s="140"/>
    </row>
    <row r="913" ht="14.25" customHeight="1">
      <c r="E913" s="1"/>
      <c r="F913" s="1"/>
      <c r="Y913" s="140"/>
    </row>
    <row r="914" ht="14.25" customHeight="1">
      <c r="E914" s="1"/>
      <c r="F914" s="1"/>
      <c r="Y914" s="140"/>
    </row>
    <row r="915" ht="14.25" customHeight="1">
      <c r="E915" s="1"/>
      <c r="F915" s="1"/>
      <c r="Y915" s="140"/>
    </row>
    <row r="916" ht="14.25" customHeight="1">
      <c r="E916" s="1"/>
      <c r="F916" s="1"/>
      <c r="Y916" s="140"/>
    </row>
    <row r="917" ht="14.25" customHeight="1">
      <c r="E917" s="1"/>
      <c r="F917" s="1"/>
      <c r="Y917" s="140"/>
    </row>
    <row r="918" ht="14.25" customHeight="1">
      <c r="E918" s="1"/>
      <c r="F918" s="1"/>
      <c r="Y918" s="140"/>
    </row>
    <row r="919" ht="14.25" customHeight="1">
      <c r="E919" s="1"/>
      <c r="F919" s="1"/>
      <c r="Y919" s="140"/>
    </row>
    <row r="920" ht="14.25" customHeight="1">
      <c r="E920" s="1"/>
      <c r="F920" s="1"/>
      <c r="Y920" s="140"/>
    </row>
    <row r="921" ht="14.25" customHeight="1">
      <c r="E921" s="1"/>
      <c r="F921" s="1"/>
      <c r="Y921" s="140"/>
    </row>
    <row r="922" ht="14.25" customHeight="1">
      <c r="E922" s="1"/>
      <c r="F922" s="1"/>
      <c r="Y922" s="140"/>
    </row>
    <row r="923" ht="14.25" customHeight="1">
      <c r="E923" s="1"/>
      <c r="F923" s="1"/>
      <c r="Y923" s="140"/>
    </row>
    <row r="924" ht="14.25" customHeight="1">
      <c r="E924" s="1"/>
      <c r="F924" s="1"/>
      <c r="Y924" s="140"/>
    </row>
    <row r="925" ht="14.25" customHeight="1">
      <c r="E925" s="1"/>
      <c r="F925" s="1"/>
      <c r="Y925" s="140"/>
    </row>
    <row r="926" ht="14.25" customHeight="1">
      <c r="E926" s="1"/>
      <c r="F926" s="1"/>
      <c r="Y926" s="140"/>
    </row>
    <row r="927" ht="14.25" customHeight="1">
      <c r="E927" s="1"/>
      <c r="F927" s="1"/>
      <c r="Y927" s="140"/>
    </row>
    <row r="928" ht="14.25" customHeight="1">
      <c r="E928" s="1"/>
      <c r="F928" s="1"/>
      <c r="Y928" s="140"/>
    </row>
    <row r="929" ht="14.25" customHeight="1">
      <c r="E929" s="1"/>
      <c r="F929" s="1"/>
      <c r="Y929" s="140"/>
    </row>
    <row r="930" ht="14.25" customHeight="1">
      <c r="E930" s="1"/>
      <c r="F930" s="1"/>
      <c r="Y930" s="140"/>
    </row>
    <row r="931" ht="14.25" customHeight="1">
      <c r="E931" s="1"/>
      <c r="F931" s="1"/>
      <c r="Y931" s="140"/>
    </row>
    <row r="932" ht="14.25" customHeight="1">
      <c r="E932" s="1"/>
      <c r="F932" s="1"/>
      <c r="Y932" s="140"/>
    </row>
    <row r="933" ht="14.25" customHeight="1">
      <c r="E933" s="1"/>
      <c r="F933" s="1"/>
      <c r="Y933" s="140"/>
    </row>
    <row r="934" ht="14.25" customHeight="1">
      <c r="E934" s="1"/>
      <c r="F934" s="1"/>
      <c r="Y934" s="140"/>
    </row>
    <row r="935" ht="14.25" customHeight="1">
      <c r="E935" s="1"/>
      <c r="F935" s="1"/>
      <c r="Y935" s="140"/>
    </row>
    <row r="936" ht="14.25" customHeight="1">
      <c r="E936" s="1"/>
      <c r="F936" s="1"/>
      <c r="Y936" s="140"/>
    </row>
    <row r="937" ht="14.25" customHeight="1">
      <c r="E937" s="1"/>
      <c r="F937" s="1"/>
      <c r="Y937" s="140"/>
    </row>
    <row r="938" ht="14.25" customHeight="1">
      <c r="E938" s="1"/>
      <c r="F938" s="1"/>
      <c r="Y938" s="140"/>
    </row>
    <row r="939" ht="14.25" customHeight="1">
      <c r="E939" s="1"/>
      <c r="F939" s="1"/>
      <c r="Y939" s="140"/>
    </row>
    <row r="940" ht="14.25" customHeight="1">
      <c r="E940" s="1"/>
      <c r="F940" s="1"/>
      <c r="Y940" s="140"/>
    </row>
    <row r="941" ht="14.25" customHeight="1">
      <c r="E941" s="1"/>
      <c r="F941" s="1"/>
      <c r="Y941" s="140"/>
    </row>
    <row r="942" ht="14.25" customHeight="1">
      <c r="E942" s="1"/>
      <c r="F942" s="1"/>
      <c r="Y942" s="140"/>
    </row>
    <row r="943" ht="14.25" customHeight="1">
      <c r="E943" s="1"/>
      <c r="F943" s="1"/>
      <c r="Y943" s="140"/>
    </row>
    <row r="944" ht="14.25" customHeight="1">
      <c r="E944" s="1"/>
      <c r="F944" s="1"/>
      <c r="Y944" s="140"/>
    </row>
    <row r="945" ht="14.25" customHeight="1">
      <c r="E945" s="1"/>
      <c r="F945" s="1"/>
      <c r="Y945" s="140"/>
    </row>
    <row r="946" ht="14.25" customHeight="1">
      <c r="E946" s="1"/>
      <c r="F946" s="1"/>
      <c r="Y946" s="140"/>
    </row>
    <row r="947" ht="14.25" customHeight="1">
      <c r="E947" s="1"/>
      <c r="F947" s="1"/>
      <c r="Y947" s="140"/>
    </row>
    <row r="948" ht="14.25" customHeight="1">
      <c r="E948" s="1"/>
      <c r="F948" s="1"/>
      <c r="Y948" s="140"/>
    </row>
    <row r="949" ht="14.25" customHeight="1">
      <c r="E949" s="1"/>
      <c r="F949" s="1"/>
      <c r="Y949" s="140"/>
    </row>
    <row r="950" ht="14.25" customHeight="1">
      <c r="E950" s="1"/>
      <c r="F950" s="1"/>
      <c r="Y950" s="140"/>
    </row>
    <row r="951" ht="14.25" customHeight="1">
      <c r="E951" s="1"/>
      <c r="F951" s="1"/>
      <c r="Y951" s="140"/>
    </row>
    <row r="952" ht="14.25" customHeight="1">
      <c r="E952" s="1"/>
      <c r="F952" s="1"/>
      <c r="Y952" s="140"/>
    </row>
    <row r="953" ht="14.25" customHeight="1">
      <c r="E953" s="1"/>
      <c r="F953" s="1"/>
      <c r="Y953" s="140"/>
    </row>
    <row r="954" ht="14.25" customHeight="1">
      <c r="E954" s="1"/>
      <c r="F954" s="1"/>
      <c r="Y954" s="140"/>
    </row>
    <row r="955" ht="14.25" customHeight="1">
      <c r="E955" s="1"/>
      <c r="F955" s="1"/>
      <c r="Y955" s="140"/>
    </row>
    <row r="956" ht="14.25" customHeight="1">
      <c r="E956" s="1"/>
      <c r="F956" s="1"/>
      <c r="Y956" s="140"/>
    </row>
    <row r="957" ht="14.25" customHeight="1">
      <c r="E957" s="1"/>
      <c r="F957" s="1"/>
      <c r="Y957" s="140"/>
    </row>
    <row r="958" ht="14.25" customHeight="1">
      <c r="E958" s="1"/>
      <c r="F958" s="1"/>
      <c r="Y958" s="140"/>
    </row>
    <row r="959" ht="14.25" customHeight="1">
      <c r="E959" s="1"/>
      <c r="F959" s="1"/>
      <c r="Y959" s="140"/>
    </row>
    <row r="960" ht="14.25" customHeight="1">
      <c r="E960" s="1"/>
      <c r="F960" s="1"/>
      <c r="Y960" s="140"/>
    </row>
    <row r="961" ht="14.25" customHeight="1">
      <c r="E961" s="1"/>
      <c r="F961" s="1"/>
      <c r="Y961" s="140"/>
    </row>
    <row r="962" ht="14.25" customHeight="1">
      <c r="E962" s="1"/>
      <c r="F962" s="1"/>
      <c r="Y962" s="140"/>
    </row>
    <row r="963" ht="14.25" customHeight="1">
      <c r="E963" s="1"/>
      <c r="F963" s="1"/>
      <c r="Y963" s="140"/>
    </row>
    <row r="964" ht="14.25" customHeight="1">
      <c r="E964" s="1"/>
      <c r="F964" s="1"/>
      <c r="Y964" s="140"/>
    </row>
    <row r="965" ht="14.25" customHeight="1">
      <c r="E965" s="1"/>
      <c r="F965" s="1"/>
      <c r="Y965" s="140"/>
    </row>
    <row r="966" ht="14.25" customHeight="1">
      <c r="E966" s="1"/>
      <c r="F966" s="1"/>
      <c r="Y966" s="140"/>
    </row>
    <row r="967" ht="14.25" customHeight="1">
      <c r="E967" s="1"/>
      <c r="F967" s="1"/>
      <c r="Y967" s="140"/>
    </row>
    <row r="968" ht="14.25" customHeight="1">
      <c r="E968" s="1"/>
      <c r="F968" s="1"/>
      <c r="Y968" s="140"/>
    </row>
    <row r="969" ht="14.25" customHeight="1">
      <c r="E969" s="1"/>
      <c r="F969" s="1"/>
      <c r="Y969" s="140"/>
    </row>
    <row r="970" ht="14.25" customHeight="1">
      <c r="E970" s="1"/>
      <c r="F970" s="1"/>
      <c r="Y970" s="140"/>
    </row>
    <row r="971" ht="14.25" customHeight="1">
      <c r="E971" s="1"/>
      <c r="F971" s="1"/>
      <c r="Y971" s="140"/>
    </row>
    <row r="972" ht="14.25" customHeight="1">
      <c r="E972" s="1"/>
      <c r="F972" s="1"/>
      <c r="Y972" s="140"/>
    </row>
    <row r="973" ht="14.25" customHeight="1">
      <c r="E973" s="1"/>
      <c r="F973" s="1"/>
      <c r="Y973" s="140"/>
    </row>
    <row r="974" ht="14.25" customHeight="1">
      <c r="E974" s="1"/>
      <c r="F974" s="1"/>
      <c r="Y974" s="140"/>
    </row>
    <row r="975" ht="14.25" customHeight="1">
      <c r="E975" s="1"/>
      <c r="F975" s="1"/>
      <c r="Y975" s="140"/>
    </row>
    <row r="976" ht="14.25" customHeight="1">
      <c r="E976" s="1"/>
      <c r="F976" s="1"/>
      <c r="Y976" s="140"/>
    </row>
    <row r="977" ht="14.25" customHeight="1">
      <c r="E977" s="1"/>
      <c r="F977" s="1"/>
      <c r="Y977" s="140"/>
    </row>
    <row r="978" ht="14.25" customHeight="1">
      <c r="E978" s="1"/>
      <c r="F978" s="1"/>
      <c r="Y978" s="140"/>
    </row>
    <row r="979" ht="14.25" customHeight="1">
      <c r="E979" s="1"/>
      <c r="F979" s="1"/>
      <c r="Y979" s="140"/>
    </row>
    <row r="980" ht="14.25" customHeight="1">
      <c r="E980" s="1"/>
      <c r="F980" s="1"/>
      <c r="Y980" s="140"/>
    </row>
    <row r="981" ht="14.25" customHeight="1">
      <c r="E981" s="1"/>
      <c r="F981" s="1"/>
      <c r="Y981" s="140"/>
    </row>
    <row r="982" ht="14.25" customHeight="1">
      <c r="E982" s="1"/>
      <c r="F982" s="1"/>
      <c r="Y982" s="140"/>
    </row>
    <row r="983" ht="14.25" customHeight="1">
      <c r="E983" s="1"/>
      <c r="F983" s="1"/>
      <c r="Y983" s="140"/>
    </row>
    <row r="984" ht="14.25" customHeight="1">
      <c r="E984" s="1"/>
      <c r="F984" s="1"/>
      <c r="Y984" s="140"/>
    </row>
    <row r="985" ht="14.25" customHeight="1">
      <c r="E985" s="1"/>
      <c r="F985" s="1"/>
      <c r="Y985" s="140"/>
    </row>
    <row r="986" ht="14.25" customHeight="1">
      <c r="E986" s="1"/>
      <c r="F986" s="1"/>
      <c r="Y986" s="140"/>
    </row>
    <row r="987" ht="14.25" customHeight="1">
      <c r="E987" s="1"/>
      <c r="F987" s="1"/>
      <c r="Y987" s="140"/>
    </row>
    <row r="988" ht="14.25" customHeight="1">
      <c r="E988" s="1"/>
      <c r="F988" s="1"/>
      <c r="Y988" s="140"/>
    </row>
    <row r="989" ht="14.25" customHeight="1">
      <c r="E989" s="1"/>
      <c r="F989" s="1"/>
      <c r="Y989" s="140"/>
    </row>
    <row r="990" ht="14.25" customHeight="1">
      <c r="E990" s="1"/>
      <c r="F990" s="1"/>
      <c r="Y990" s="140"/>
    </row>
    <row r="991" ht="14.25" customHeight="1">
      <c r="E991" s="1"/>
      <c r="F991" s="1"/>
      <c r="Y991" s="140"/>
    </row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29"/>
    <col customWidth="1" min="2" max="4" width="32.0"/>
  </cols>
  <sheetData>
    <row r="1">
      <c r="A1" s="141" t="s">
        <v>39</v>
      </c>
      <c r="B1" s="10" t="s">
        <v>40</v>
      </c>
      <c r="C1" s="142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</row>
    <row r="2">
      <c r="A2" s="143"/>
      <c r="B2" s="142"/>
      <c r="C2" s="142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>
      <c r="A3" s="144" t="s">
        <v>50</v>
      </c>
      <c r="B3" s="144" t="s">
        <v>427</v>
      </c>
      <c r="C3" s="144" t="s">
        <v>428</v>
      </c>
      <c r="D3" s="145" t="s">
        <v>51</v>
      </c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</row>
    <row r="4">
      <c r="A4" s="56" t="s">
        <v>76</v>
      </c>
      <c r="B4" s="38" t="s">
        <v>136</v>
      </c>
      <c r="C4" s="142"/>
      <c r="D4" s="56">
        <v>1.0</v>
      </c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</row>
    <row r="5">
      <c r="A5" s="56" t="s">
        <v>85</v>
      </c>
      <c r="B5" s="38" t="s">
        <v>130</v>
      </c>
      <c r="C5" s="142"/>
      <c r="D5" s="56">
        <v>2.0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</row>
    <row r="6">
      <c r="A6" s="56" t="s">
        <v>102</v>
      </c>
      <c r="B6" s="80" t="s">
        <v>429</v>
      </c>
      <c r="C6" s="142"/>
      <c r="D6" s="56">
        <v>3.0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</row>
    <row r="7">
      <c r="A7" s="56" t="s">
        <v>158</v>
      </c>
      <c r="B7" s="80" t="s">
        <v>154</v>
      </c>
      <c r="C7" s="142"/>
      <c r="D7" s="147">
        <v>4.0</v>
      </c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</row>
    <row r="8">
      <c r="A8" s="148"/>
      <c r="B8" s="142"/>
      <c r="C8" s="142"/>
      <c r="D8" s="142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</row>
    <row r="9">
      <c r="A9" s="142"/>
      <c r="B9" s="142"/>
      <c r="C9" s="142"/>
      <c r="D9" s="142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</row>
  </sheetData>
  <hyperlinks>
    <hyperlink r:id="rId1" ref="B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